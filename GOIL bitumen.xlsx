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TENTIVE\Documents\"/>
    </mc:Choice>
  </mc:AlternateContent>
  <xr:revisionPtr revIDLastSave="0" documentId="8_{1E4E3920-F263-4FA2-965D-7ADAE8906321}" xr6:coauthVersionLast="47" xr6:coauthVersionMax="47" xr10:uidLastSave="{00000000-0000-0000-0000-000000000000}"/>
  <bookViews>
    <workbookView xWindow="-98" yWindow="-98" windowWidth="21795" windowHeight="13096" xr2:uid="{B1F4DEAE-9BC6-4DF3-858C-1FA0FC9EABC6}"/>
  </bookViews>
  <sheets>
    <sheet name="SALES BUDGET" sheetId="1" r:id="rId1"/>
    <sheet name="COGS -Direct Materials" sheetId="2" r:id="rId2"/>
    <sheet name="COGS - Factory Overheads" sheetId="3" r:id="rId3"/>
    <sheet name="SG&amp;A Expense" sheetId="4" r:id="rId4"/>
    <sheet name="CAPEX ESTIMATE" sheetId="5" r:id="rId5"/>
  </sheets>
  <externalReferences>
    <externalReference r:id="rId6"/>
  </externalReferences>
  <definedNames>
    <definedName name="\c">#REF!</definedName>
    <definedName name="\P">#REF!</definedName>
    <definedName name="\PX">#REF!</definedName>
    <definedName name="\s">#REF!</definedName>
    <definedName name="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rr1">#REF!</definedName>
    <definedName name="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rr1">#REF!</definedName>
    <definedName name="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xlnm._FilterDatabase" localSheetId="4" hidden="1">'CAPEX ESTIMATE'!$B$3:$I$101</definedName>
    <definedName name="_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a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AAA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AAAA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Admin2020" localSheetId="4">#REF!</definedName>
    <definedName name="Admin2020">#REF!</definedName>
    <definedName name="AdminBgt2020">#REF!</definedName>
    <definedName name="AP">#REF!</definedName>
    <definedName name="APAGE">#REF!</definedName>
    <definedName name="APAGEX">#REF!</definedName>
    <definedName name="BCLASS2022" localSheetId="4">#REF!</definedName>
    <definedName name="BCLASS2022">#REF!</definedName>
    <definedName name="BLKPAGE">#REF!</definedName>
    <definedName name="BLKPAGEX">#REF!</definedName>
    <definedName name="BPAGE">#REF!</definedName>
    <definedName name="BPAGEX">#REF!</definedName>
    <definedName name="BUDGET_Title">#REF!</definedName>
    <definedName name="BUSINESSCLASS" localSheetId="4">#REF!</definedName>
    <definedName name="BUSINESSCLASS">#REF!</definedName>
    <definedName name="By">#REF!</definedName>
    <definedName name="C_">#REF!</definedName>
    <definedName name="C_X">#REF!</definedName>
    <definedName name="Client">#REF!</definedName>
    <definedName name="ColumnTitle1">#REF!</definedName>
    <definedName name="COMPANY_NAME">#REF!</definedName>
    <definedName name="CON">#REF!</definedName>
    <definedName name="Concentration">#REF!</definedName>
    <definedName name="CONX">#REF!</definedName>
    <definedName name="COVER1" hidden="1">{#N/A,#N/A,FALSE,"Ejector 1";#N/A,#N/A,FALSE,"Ejector 2"}</definedName>
    <definedName name="COVER2" hidden="1">{#N/A,#N/A,FALSE,"Ejector 1";#N/A,#N/A,FALSE,"Ejector 2"}</definedName>
    <definedName name="CPAGE">#REF!</definedName>
    <definedName name="CPAGEX">#REF!</definedName>
    <definedName name="_xlnm.Criteria">#REF!</definedName>
    <definedName name="CurDate">#REF!</definedName>
    <definedName name="CurRev">#REF!</definedName>
    <definedName name="CurrRev">#REF!</definedName>
    <definedName name="_xlnm.Database">#REF!</definedName>
    <definedName name="Date">#REF!</definedName>
    <definedName name="Datenum">#REF!</definedName>
    <definedName name="DateRev">#REF!</definedName>
    <definedName name="DDD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OC">#REF!</definedName>
    <definedName name="DocNo">#REF!</definedName>
    <definedName name="Docnum">#REF!</definedName>
    <definedName name="Document">#REF!</definedName>
    <definedName name="DOMJNRPERDIEM" localSheetId="4">#REF!</definedName>
    <definedName name="DOMJNRPERDIEM">#REF!</definedName>
    <definedName name="DOMSNRPERDIEM" localSheetId="4">#REF!</definedName>
    <definedName name="DOMSNRPERDIEM">#REF!</definedName>
    <definedName name="DONRPERDIEM2022" localSheetId="4">#REF!</definedName>
    <definedName name="DONRPERDIEM2022">#REF!</definedName>
    <definedName name="DOPERDIEM2022" localSheetId="4">#REF!</definedName>
    <definedName name="DOPERDIEM2022">#REF!</definedName>
    <definedName name="DPAGE">#REF!</definedName>
    <definedName name="DsNo">#REF!</definedName>
    <definedName name="DYE">#REF!</definedName>
    <definedName name="E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ECONOMYCL2022" localSheetId="4">#REF!</definedName>
    <definedName name="ECONOMYCL2022">#REF!</definedName>
    <definedName name="ECONOMYCLASS" localSheetId="4">#REF!</definedName>
    <definedName name="ECONOMYCLASS">#REF!</definedName>
    <definedName name="EPAGE">#REF!</definedName>
    <definedName name="EQP">#REF!</definedName>
    <definedName name="Essai">#REF!</definedName>
    <definedName name="ESTRAZIONE">#REF!</definedName>
    <definedName name="EXCHRATE">#REF!</definedName>
    <definedName name="Exigences">#REF!</definedName>
    <definedName name="ff">#REF!</definedName>
    <definedName name="For">#REF!</definedName>
    <definedName name="FOREX">#REF!</definedName>
    <definedName name="FPAGE">#REF!</definedName>
    <definedName name="GMDPERDIEM2022" localSheetId="4">#REF!</definedName>
    <definedName name="GMDPERDIEM2022">#REF!</definedName>
    <definedName name="HEADINGS">#REF!</definedName>
    <definedName name="HHH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nflation" localSheetId="4">#REF!</definedName>
    <definedName name="Inflation">#REF!</definedName>
    <definedName name="INFRATE">#REF!</definedName>
    <definedName name="Insurance" localSheetId="4">#REF!</definedName>
    <definedName name="Insurance">#REF!</definedName>
    <definedName name="ItemName">#REF!</definedName>
    <definedName name="ItemNo">#REF!</definedName>
    <definedName name="jj">#REF!</definedName>
    <definedName name="JNRPERDIEM2022" localSheetId="4">#REF!</definedName>
    <definedName name="JNRPERDIEM2022">#REF!</definedName>
    <definedName name="JobNo">#REF!</definedName>
    <definedName name="JUNIORPERDIEM" localSheetId="4">#REF!</definedName>
    <definedName name="JUNIORPERDIEM">#REF!</definedName>
    <definedName name="K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ookUp_Range">#REF!</definedName>
    <definedName name="mdperdiem" localSheetId="4">#REF!</definedName>
    <definedName name="mdperdiem">#REF!</definedName>
    <definedName name="MGTPERDIEM" localSheetId="4">#REF!</definedName>
    <definedName name="MGTPERDIEM">#REF!</definedName>
    <definedName name="MGTPERDIEM2022" localSheetId="4">#REF!</definedName>
    <definedName name="MGTPERDIEM2022">#REF!</definedName>
    <definedName name="MP_EQ_002">#REF!</definedName>
    <definedName name="MP_EQ_003">#REF!</definedName>
    <definedName name="MP_EQ_004">#REF!</definedName>
    <definedName name="MP_EQUIPNR">#REF!</definedName>
    <definedName name="MPIPE">#REF!</definedName>
    <definedName name="nb_heures_tot">#REF!</definedName>
    <definedName name="NLOAD">OFFSET(#REF!,0,#REF!-1)</definedName>
    <definedName name="NoOfShares" localSheetId="4">#REF!</definedName>
    <definedName name="NoOfShares">#REF!</definedName>
    <definedName name="NOTE4">#REF!</definedName>
    <definedName name="PAGE2" hidden="1">{#N/A,#N/A,FALSE,"Ejector 1";#N/A,#N/A,FALSE,"Ejector 2"}</definedName>
    <definedName name="PAGE7">#REF!</definedName>
    <definedName name="PEA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RINYEAR2022" localSheetId="4">#REF!</definedName>
    <definedName name="PERINYEAR2022">#REF!</definedName>
    <definedName name="PeriodsInYear">#REF!</definedName>
    <definedName name="PE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ToCedi">#REF!</definedName>
    <definedName name="PIPPO" hidden="1">{#N/A,#N/A,FALSE,"Ejector 1";#N/A,#N/A,FALSE,"Ejector 2"}</definedName>
    <definedName name="PNAMES">#REF!</definedName>
    <definedName name="PO" hidden="1">{#N/A,#N/A,FALSE,"Ejector 1";#N/A,#N/A,FALSE,"Ejector 2"}</definedName>
    <definedName name="PONo">#REF!</definedName>
    <definedName name="_xlnm.Print_Area" localSheetId="2">'COGS - Factory Overheads'!$A$2:$L$29</definedName>
    <definedName name="_xlnm.Print_Area">#REF!</definedName>
    <definedName name="Print_Area_MI">#REF!</definedName>
    <definedName name="Project">#REF!</definedName>
    <definedName name="P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TYPE">OFFSET(#REF!,0,#REF!-1)</definedName>
    <definedName name="PTYPES">#REF!</definedName>
    <definedName name="RESET">#REF!</definedName>
    <definedName name="rev">#REF!</definedName>
    <definedName name="RevNo">#REF!</definedName>
    <definedName name="Revnum">#REF!</definedName>
    <definedName name="rr">#REF!</definedName>
    <definedName name="SalaryIncrease" localSheetId="4">#REF!</definedName>
    <definedName name="SalaryIncrease">#REF!</definedName>
    <definedName name="sd" hidden="1">{#N/A,#N/A,FALSE,"Ejector 1";#N/A,#N/A,FALSE,"Ejector 2"}</definedName>
    <definedName name="Service">#REF!</definedName>
    <definedName name="Sheet1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ite">#REF!</definedName>
    <definedName name="SPBuLocal" localSheetId="4">#REF!</definedName>
    <definedName name="SPBuLocal">#REF!</definedName>
    <definedName name="SPDiesel" localSheetId="4">#REF!</definedName>
    <definedName name="SPDiesel">#REF!</definedName>
    <definedName name="spec" localSheetId="4">#REF!</definedName>
    <definedName name="spec">#REF!</definedName>
    <definedName name="SPEC2022">#REF!</definedName>
    <definedName name="SpecNo">#REF!</definedName>
    <definedName name="SPGaso">#REF!</definedName>
    <definedName name="SPLpg" localSheetId="4">#REF!</definedName>
    <definedName name="SPLpg">#REF!</definedName>
    <definedName name="SPUnified" localSheetId="4">#REF!</definedName>
    <definedName name="SPUnified">#REF!</definedName>
    <definedName name="SSF" localSheetId="4">#REF!</definedName>
    <definedName name="SSF">#REF!</definedName>
    <definedName name="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TAN">#REF!</definedName>
    <definedName name="Subject">#REF!</definedName>
    <definedName name="Table">#REF!</definedName>
    <definedName name="table1">#REF!</definedName>
    <definedName name="table2">#REF!</definedName>
    <definedName name="TAX_RATE">#REF!</definedName>
    <definedName name="TempC">#REF!</definedName>
    <definedName name="Tier3" localSheetId="4">#REF!</definedName>
    <definedName name="Tier3">#REF!</definedName>
    <definedName name="Title">#REF!</definedName>
    <definedName name="Title1">#REF!</definedName>
    <definedName name="Title2">#REF!</definedName>
    <definedName name="Title3">#REF!</definedName>
    <definedName name="Title4">#REF!</definedName>
    <definedName name="top">#REF!</definedName>
    <definedName name="TSPMCOMINFO" localSheetId="4">#REF!</definedName>
    <definedName name="TSPMCOMINFO">#REF!</definedName>
    <definedName name="TSPMINFO2022" localSheetId="4">#REF!</definedName>
    <definedName name="TSPMINFO2022">#REF!</definedName>
    <definedName name="TSPMINTTRAVE2022" localSheetId="4">#REF!</definedName>
    <definedName name="TSPMINTTRAVE2022">#REF!</definedName>
    <definedName name="TSPMINTTRAVEL" localSheetId="4">#REF!</definedName>
    <definedName name="TSPMINTTRAVEL">#REF!</definedName>
    <definedName name="TspmPromo" localSheetId="4">#REF!</definedName>
    <definedName name="TspmPromo">#REF!</definedName>
    <definedName name="TSPMTRN" localSheetId="4">#REF!</definedName>
    <definedName name="TSPMTRN">#REF!</definedName>
    <definedName name="TSPMTRN2022" localSheetId="4">#REF!</definedName>
    <definedName name="TSPMTRN2022">#REF!</definedName>
    <definedName name="TSPPROMO2022" localSheetId="4">#REF!</definedName>
    <definedName name="TSPPROMO2022">#REF!</definedName>
    <definedName name="TY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Unit">#REF!</definedName>
    <definedName name="Units_Value">#REF!</definedName>
    <definedName name="vat_17.5" localSheetId="4">#REF!</definedName>
    <definedName name="vat_17.5">#REF!</definedName>
    <definedName name="WEI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hidden="1">{#N/A,#N/A,FALSE,"Ejector 1";#N/A,#N/A,FALSE,"Ejector 2"}</definedName>
    <definedName name="x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one_impres_MI">#REF!</definedName>
    <definedName name="ZZZ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1" i="5" l="1"/>
  <c r="D86" i="5"/>
  <c r="D85" i="5"/>
  <c r="F84" i="5"/>
  <c r="D65" i="5"/>
  <c r="D64" i="5"/>
  <c r="D63" i="5"/>
  <c r="D62" i="5"/>
  <c r="D61" i="5"/>
  <c r="G60" i="5"/>
  <c r="F60" i="5"/>
  <c r="D60" i="5"/>
  <c r="G59" i="5"/>
  <c r="D59" i="5"/>
  <c r="D58" i="5"/>
  <c r="F59" i="5" s="1"/>
  <c r="D57" i="5"/>
  <c r="G57" i="5" s="1"/>
  <c r="D56" i="5"/>
  <c r="F57" i="5" s="1"/>
  <c r="F55" i="5"/>
  <c r="G54" i="5" s="1"/>
  <c r="D55" i="5"/>
  <c r="F56" i="5" s="1"/>
  <c r="F54" i="5"/>
  <c r="D54" i="5"/>
  <c r="F53" i="5"/>
  <c r="D53" i="5"/>
  <c r="G53" i="5" s="1"/>
  <c r="G52" i="5"/>
  <c r="D52" i="5"/>
  <c r="G51" i="5"/>
  <c r="F51" i="5"/>
  <c r="D51" i="5"/>
  <c r="D50" i="5"/>
  <c r="G50" i="5" s="1"/>
  <c r="D49" i="5"/>
  <c r="D82" i="5" s="1"/>
  <c r="F46" i="5"/>
  <c r="D43" i="5"/>
  <c r="D42" i="5"/>
  <c r="D41" i="5"/>
  <c r="D39" i="5"/>
  <c r="G39" i="5" s="1"/>
  <c r="G38" i="5"/>
  <c r="D38" i="5"/>
  <c r="G37" i="5"/>
  <c r="D37" i="5"/>
  <c r="D36" i="5"/>
  <c r="G36" i="5" s="1"/>
  <c r="D35" i="5"/>
  <c r="D46" i="5" s="1"/>
  <c r="F31" i="5"/>
  <c r="D28" i="5"/>
  <c r="D27" i="5"/>
  <c r="G27" i="5" s="1"/>
  <c r="D26" i="5"/>
  <c r="D31" i="5" s="1"/>
  <c r="D20" i="5"/>
  <c r="D19" i="5"/>
  <c r="D18" i="5"/>
  <c r="D17" i="5"/>
  <c r="D16" i="5"/>
  <c r="D15" i="5"/>
  <c r="D14" i="5"/>
  <c r="D13" i="5"/>
  <c r="D12" i="5"/>
  <c r="D11" i="5"/>
  <c r="D10" i="5"/>
  <c r="F9" i="5"/>
  <c r="D9" i="5"/>
  <c r="G9" i="5" s="1"/>
  <c r="D8" i="5"/>
  <c r="G8" i="5" s="1"/>
  <c r="D7" i="5"/>
  <c r="F6" i="5"/>
  <c r="D6" i="5"/>
  <c r="G6" i="5" s="1"/>
  <c r="D34" i="4"/>
  <c r="N33" i="4"/>
  <c r="L33" i="4"/>
  <c r="K33" i="4" s="1"/>
  <c r="J33" i="4"/>
  <c r="I33" i="4"/>
  <c r="H33" i="4"/>
  <c r="E33" i="4"/>
  <c r="C33" i="4"/>
  <c r="N32" i="4"/>
  <c r="L32" i="4"/>
  <c r="K32" i="4" s="1"/>
  <c r="J32" i="4"/>
  <c r="H32" i="4"/>
  <c r="E32" i="4"/>
  <c r="C32" i="4"/>
  <c r="N31" i="4"/>
  <c r="L31" i="4"/>
  <c r="K31" i="4" s="1"/>
  <c r="J31" i="4"/>
  <c r="H31" i="4"/>
  <c r="E31" i="4"/>
  <c r="C31" i="4"/>
  <c r="N30" i="4"/>
  <c r="L30" i="4"/>
  <c r="K30" i="4" s="1"/>
  <c r="J30" i="4"/>
  <c r="H30" i="4"/>
  <c r="E30" i="4"/>
  <c r="C30" i="4"/>
  <c r="N29" i="4"/>
  <c r="K29" i="4"/>
  <c r="J29" i="4"/>
  <c r="I29" i="4"/>
  <c r="H29" i="4"/>
  <c r="E29" i="4"/>
  <c r="N28" i="4"/>
  <c r="L28" i="4"/>
  <c r="I28" i="4" s="1"/>
  <c r="K28" i="4"/>
  <c r="J28" i="4"/>
  <c r="H28" i="4"/>
  <c r="E28" i="4"/>
  <c r="N27" i="4"/>
  <c r="L27" i="4"/>
  <c r="K27" i="4" s="1"/>
  <c r="J27" i="4"/>
  <c r="E27" i="4"/>
  <c r="C27" i="4"/>
  <c r="N26" i="4"/>
  <c r="L26" i="4"/>
  <c r="K26" i="4" s="1"/>
  <c r="J26" i="4"/>
  <c r="C26" i="4"/>
  <c r="L25" i="4"/>
  <c r="K25" i="4" s="1"/>
  <c r="C25" i="4"/>
  <c r="E25" i="4" s="1"/>
  <c r="L24" i="4"/>
  <c r="K24" i="4" s="1"/>
  <c r="E24" i="4"/>
  <c r="N23" i="4"/>
  <c r="L23" i="4"/>
  <c r="I23" i="4" s="1"/>
  <c r="K23" i="4"/>
  <c r="J23" i="4"/>
  <c r="H23" i="4"/>
  <c r="E23" i="4"/>
  <c r="L22" i="4"/>
  <c r="I22" i="4" s="1"/>
  <c r="J22" i="4"/>
  <c r="E22" i="4"/>
  <c r="C22" i="4"/>
  <c r="L21" i="4"/>
  <c r="I21" i="4" s="1"/>
  <c r="J21" i="4"/>
  <c r="E21" i="4"/>
  <c r="C21" i="4"/>
  <c r="L20" i="4"/>
  <c r="I20" i="4" s="1"/>
  <c r="J20" i="4"/>
  <c r="E20" i="4"/>
  <c r="C20" i="4"/>
  <c r="L19" i="4"/>
  <c r="I19" i="4" s="1"/>
  <c r="J19" i="4"/>
  <c r="E19" i="4"/>
  <c r="C19" i="4"/>
  <c r="L18" i="4"/>
  <c r="I18" i="4" s="1"/>
  <c r="J18" i="4"/>
  <c r="E18" i="4"/>
  <c r="C18" i="4"/>
  <c r="L17" i="4"/>
  <c r="I17" i="4" s="1"/>
  <c r="J17" i="4"/>
  <c r="E17" i="4"/>
  <c r="C17" i="4"/>
  <c r="L16" i="4"/>
  <c r="I16" i="4" s="1"/>
  <c r="J16" i="4"/>
  <c r="E16" i="4"/>
  <c r="L15" i="4"/>
  <c r="J15" i="4" s="1"/>
  <c r="K15" i="4"/>
  <c r="I15" i="4"/>
  <c r="H15" i="4"/>
  <c r="C15" i="4"/>
  <c r="E15" i="4" s="1"/>
  <c r="L14" i="4"/>
  <c r="J14" i="4" s="1"/>
  <c r="K14" i="4"/>
  <c r="I14" i="4"/>
  <c r="H14" i="4"/>
  <c r="C14" i="4"/>
  <c r="E14" i="4" s="1"/>
  <c r="N13" i="4"/>
  <c r="L13" i="4"/>
  <c r="J13" i="4" s="1"/>
  <c r="K13" i="4"/>
  <c r="I13" i="4"/>
  <c r="H13" i="4"/>
  <c r="E13" i="4"/>
  <c r="N12" i="4"/>
  <c r="L12" i="4"/>
  <c r="K12" i="4" s="1"/>
  <c r="J12" i="4"/>
  <c r="H12" i="4"/>
  <c r="E12" i="4"/>
  <c r="C12" i="4"/>
  <c r="N11" i="4"/>
  <c r="L11" i="4"/>
  <c r="K11" i="4" s="1"/>
  <c r="J11" i="4"/>
  <c r="H11" i="4"/>
  <c r="E11" i="4"/>
  <c r="L10" i="4"/>
  <c r="N10" i="4" s="1"/>
  <c r="E10" i="4"/>
  <c r="C10" i="4"/>
  <c r="L9" i="4"/>
  <c r="N9" i="4" s="1"/>
  <c r="E9" i="4"/>
  <c r="C9" i="4"/>
  <c r="C34" i="4" s="1"/>
  <c r="E34" i="4" s="1"/>
  <c r="L23" i="3"/>
  <c r="K23" i="3"/>
  <c r="J23" i="3" s="1"/>
  <c r="I23" i="3"/>
  <c r="G23" i="3"/>
  <c r="E23" i="3"/>
  <c r="K22" i="3"/>
  <c r="L22" i="3" s="1"/>
  <c r="E22" i="3"/>
  <c r="C22" i="3"/>
  <c r="K21" i="3"/>
  <c r="L21" i="3" s="1"/>
  <c r="E21" i="3"/>
  <c r="C21" i="3"/>
  <c r="K20" i="3"/>
  <c r="L20" i="3" s="1"/>
  <c r="E20" i="3"/>
  <c r="L19" i="3"/>
  <c r="K19" i="3"/>
  <c r="J19" i="3"/>
  <c r="I19" i="3"/>
  <c r="H19" i="3"/>
  <c r="G19" i="3"/>
  <c r="E19" i="3"/>
  <c r="L18" i="3"/>
  <c r="K18" i="3"/>
  <c r="J18" i="3" s="1"/>
  <c r="I18" i="3"/>
  <c r="E18" i="3"/>
  <c r="K17" i="3"/>
  <c r="J17" i="3" s="1"/>
  <c r="E17" i="3"/>
  <c r="L16" i="3"/>
  <c r="K16" i="3"/>
  <c r="H16" i="3" s="1"/>
  <c r="J16" i="3"/>
  <c r="I16" i="3"/>
  <c r="G16" i="3"/>
  <c r="E16" i="3"/>
  <c r="E15" i="3"/>
  <c r="K14" i="3"/>
  <c r="I14" i="3" s="1"/>
  <c r="J14" i="3"/>
  <c r="H14" i="3"/>
  <c r="G14" i="3"/>
  <c r="D14" i="3"/>
  <c r="D24" i="3" s="1"/>
  <c r="C14" i="3"/>
  <c r="C24" i="3" s="1"/>
  <c r="E24" i="3" s="1"/>
  <c r="K11" i="3"/>
  <c r="G11" i="3" s="1"/>
  <c r="E11" i="3"/>
  <c r="C8" i="3"/>
  <c r="E8" i="3" s="1"/>
  <c r="C7" i="3"/>
  <c r="E7" i="3" s="1"/>
  <c r="D44" i="2"/>
  <c r="E44" i="2" s="1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C44" i="2" s="1"/>
  <c r="K32" i="2"/>
  <c r="K31" i="2"/>
  <c r="K30" i="2"/>
  <c r="K29" i="2"/>
  <c r="K28" i="2"/>
  <c r="K27" i="2"/>
  <c r="K26" i="2"/>
  <c r="D21" i="2"/>
  <c r="E18" i="2"/>
  <c r="E17" i="2"/>
  <c r="E16" i="2"/>
  <c r="E15" i="2"/>
  <c r="E14" i="2"/>
  <c r="E11" i="2"/>
  <c r="C11" i="2"/>
  <c r="C20" i="2" s="1"/>
  <c r="E20" i="2" s="1"/>
  <c r="E10" i="2"/>
  <c r="C10" i="2"/>
  <c r="C19" i="2" s="1"/>
  <c r="E9" i="2"/>
  <c r="C9" i="2"/>
  <c r="E8" i="2"/>
  <c r="C8" i="2"/>
  <c r="N43" i="1"/>
  <c r="K12" i="1" s="1"/>
  <c r="M12" i="1" s="1"/>
  <c r="D37" i="1"/>
  <c r="E35" i="1"/>
  <c r="C35" i="1"/>
  <c r="E34" i="1"/>
  <c r="C34" i="1"/>
  <c r="E33" i="1"/>
  <c r="C33" i="1"/>
  <c r="E32" i="1"/>
  <c r="C32" i="1"/>
  <c r="C37" i="1" s="1"/>
  <c r="E37" i="1" s="1"/>
  <c r="K29" i="1"/>
  <c r="D29" i="1"/>
  <c r="K28" i="1"/>
  <c r="D28" i="1"/>
  <c r="K27" i="1"/>
  <c r="D27" i="1"/>
  <c r="K26" i="1"/>
  <c r="D26" i="1"/>
  <c r="D23" i="1"/>
  <c r="C23" i="1"/>
  <c r="D22" i="1"/>
  <c r="C22" i="1"/>
  <c r="D21" i="1"/>
  <c r="C21" i="1"/>
  <c r="D20" i="1"/>
  <c r="E17" i="1"/>
  <c r="E16" i="1"/>
  <c r="E15" i="1"/>
  <c r="E14" i="1"/>
  <c r="E12" i="1"/>
  <c r="C12" i="1"/>
  <c r="C20" i="1" s="1"/>
  <c r="E19" i="2" l="1"/>
  <c r="C21" i="2"/>
  <c r="E21" i="2" s="1"/>
  <c r="H11" i="3"/>
  <c r="K17" i="1"/>
  <c r="L17" i="3"/>
  <c r="G20" i="3"/>
  <c r="G21" i="3"/>
  <c r="G22" i="3"/>
  <c r="H23" i="3"/>
  <c r="H9" i="4"/>
  <c r="H10" i="4"/>
  <c r="I11" i="4"/>
  <c r="I12" i="4"/>
  <c r="K16" i="4"/>
  <c r="K17" i="4"/>
  <c r="K18" i="4"/>
  <c r="K19" i="4"/>
  <c r="K20" i="4"/>
  <c r="K21" i="4"/>
  <c r="K22" i="4"/>
  <c r="N24" i="4"/>
  <c r="N25" i="4"/>
  <c r="I30" i="4"/>
  <c r="I31" i="4"/>
  <c r="I32" i="4"/>
  <c r="G26" i="5"/>
  <c r="G31" i="5" s="1"/>
  <c r="G35" i="5"/>
  <c r="G46" i="5" s="1"/>
  <c r="G49" i="5"/>
  <c r="G55" i="5"/>
  <c r="F58" i="5"/>
  <c r="F82" i="5" s="1"/>
  <c r="K16" i="1"/>
  <c r="K15" i="3"/>
  <c r="H20" i="3"/>
  <c r="H21" i="3"/>
  <c r="H22" i="3"/>
  <c r="I9" i="4"/>
  <c r="I10" i="4"/>
  <c r="G58" i="5"/>
  <c r="K15" i="1"/>
  <c r="L11" i="3"/>
  <c r="G18" i="3"/>
  <c r="I20" i="3"/>
  <c r="I21" i="3"/>
  <c r="I22" i="3"/>
  <c r="J9" i="4"/>
  <c r="J10" i="4"/>
  <c r="N16" i="4"/>
  <c r="N17" i="4"/>
  <c r="N18" i="4"/>
  <c r="N19" i="4"/>
  <c r="N20" i="4"/>
  <c r="N21" i="4"/>
  <c r="N22" i="4"/>
  <c r="H26" i="4"/>
  <c r="H27" i="4"/>
  <c r="F7" i="5"/>
  <c r="F23" i="5" s="1"/>
  <c r="K14" i="1"/>
  <c r="L14" i="3"/>
  <c r="G17" i="3"/>
  <c r="H18" i="3"/>
  <c r="J20" i="3"/>
  <c r="J21" i="3"/>
  <c r="J22" i="3"/>
  <c r="K9" i="4"/>
  <c r="K34" i="4" s="1"/>
  <c r="K10" i="4"/>
  <c r="N14" i="4"/>
  <c r="N15" i="4"/>
  <c r="H24" i="4"/>
  <c r="H25" i="4"/>
  <c r="I26" i="4"/>
  <c r="I27" i="4"/>
  <c r="G56" i="5"/>
  <c r="H17" i="3"/>
  <c r="I24" i="4"/>
  <c r="I25" i="4"/>
  <c r="L34" i="4"/>
  <c r="N34" i="4" s="1"/>
  <c r="D23" i="5"/>
  <c r="D101" i="5" s="1"/>
  <c r="E14" i="3"/>
  <c r="I17" i="3"/>
  <c r="H16" i="4"/>
  <c r="H17" i="4"/>
  <c r="H18" i="4"/>
  <c r="H19" i="4"/>
  <c r="H20" i="4"/>
  <c r="H21" i="4"/>
  <c r="H22" i="4"/>
  <c r="J24" i="4"/>
  <c r="J25" i="4"/>
  <c r="F101" i="5" l="1"/>
  <c r="H34" i="4"/>
  <c r="K8" i="2"/>
  <c r="M8" i="2" s="1"/>
  <c r="K32" i="1"/>
  <c r="M14" i="1"/>
  <c r="J14" i="1"/>
  <c r="G14" i="1"/>
  <c r="I14" i="1"/>
  <c r="K20" i="1"/>
  <c r="H14" i="1"/>
  <c r="H24" i="3"/>
  <c r="I11" i="3"/>
  <c r="H15" i="3"/>
  <c r="G15" i="3"/>
  <c r="G24" i="3" s="1"/>
  <c r="K24" i="3"/>
  <c r="L24" i="3" s="1"/>
  <c r="L15" i="3"/>
  <c r="J15" i="3"/>
  <c r="I15" i="3"/>
  <c r="G7" i="5"/>
  <c r="G23" i="5" s="1"/>
  <c r="G101" i="5" s="1"/>
  <c r="K9" i="2"/>
  <c r="M9" i="2" s="1"/>
  <c r="G15" i="1"/>
  <c r="K21" i="1"/>
  <c r="K33" i="1"/>
  <c r="M33" i="1" s="1"/>
  <c r="H15" i="1"/>
  <c r="M15" i="1"/>
  <c r="J15" i="1"/>
  <c r="I15" i="1"/>
  <c r="K10" i="2"/>
  <c r="M10" i="2" s="1"/>
  <c r="K22" i="1"/>
  <c r="H16" i="1"/>
  <c r="G16" i="1"/>
  <c r="K34" i="1"/>
  <c r="M34" i="1" s="1"/>
  <c r="I16" i="1"/>
  <c r="M16" i="1"/>
  <c r="J16" i="1"/>
  <c r="J34" i="4"/>
  <c r="I34" i="4"/>
  <c r="G82" i="5"/>
  <c r="K11" i="2"/>
  <c r="M11" i="2" s="1"/>
  <c r="I17" i="1"/>
  <c r="K23" i="1"/>
  <c r="H17" i="1"/>
  <c r="J17" i="1"/>
  <c r="K35" i="1"/>
  <c r="M35" i="1" s="1"/>
  <c r="G17" i="1"/>
  <c r="M17" i="1"/>
  <c r="I22" i="1" l="1"/>
  <c r="I10" i="2"/>
  <c r="I19" i="2" s="1"/>
  <c r="I41" i="2" s="1"/>
  <c r="I34" i="1"/>
  <c r="I11" i="2"/>
  <c r="I35" i="1"/>
  <c r="H9" i="2"/>
  <c r="H33" i="1"/>
  <c r="I20" i="1"/>
  <c r="I8" i="2"/>
  <c r="I32" i="1"/>
  <c r="I12" i="1"/>
  <c r="I21" i="1" s="1"/>
  <c r="H10" i="2"/>
  <c r="H34" i="1"/>
  <c r="J8" i="2"/>
  <c r="J32" i="1"/>
  <c r="J37" i="1" s="1"/>
  <c r="J12" i="1"/>
  <c r="J20" i="1" s="1"/>
  <c r="J11" i="2"/>
  <c r="J23" i="1"/>
  <c r="J35" i="1"/>
  <c r="G10" i="2"/>
  <c r="G19" i="2" s="1"/>
  <c r="G34" i="1"/>
  <c r="G8" i="2"/>
  <c r="G32" i="1"/>
  <c r="G12" i="1"/>
  <c r="G20" i="1" s="1"/>
  <c r="G11" i="2"/>
  <c r="G20" i="2" s="1"/>
  <c r="G35" i="1"/>
  <c r="G21" i="1"/>
  <c r="G9" i="2"/>
  <c r="G33" i="1"/>
  <c r="I24" i="3"/>
  <c r="J11" i="3"/>
  <c r="J24" i="3" s="1"/>
  <c r="K37" i="1"/>
  <c r="M37" i="1" s="1"/>
  <c r="M32" i="1"/>
  <c r="J10" i="2"/>
  <c r="J19" i="2" s="1"/>
  <c r="J41" i="2" s="1"/>
  <c r="J22" i="1"/>
  <c r="J34" i="1"/>
  <c r="I9" i="2"/>
  <c r="I33" i="1"/>
  <c r="H11" i="2"/>
  <c r="H20" i="2" s="1"/>
  <c r="H42" i="2" s="1"/>
  <c r="H35" i="1"/>
  <c r="J21" i="1"/>
  <c r="J9" i="2"/>
  <c r="J33" i="1"/>
  <c r="H20" i="1"/>
  <c r="H8" i="2"/>
  <c r="H32" i="1"/>
  <c r="H37" i="1" s="1"/>
  <c r="H12" i="1"/>
  <c r="H21" i="1" s="1"/>
  <c r="G22" i="1" l="1"/>
  <c r="J14" i="2"/>
  <c r="J15" i="2"/>
  <c r="J37" i="2" s="1"/>
  <c r="J16" i="2"/>
  <c r="J38" i="2" s="1"/>
  <c r="J7" i="3"/>
  <c r="H23" i="1"/>
  <c r="G23" i="1"/>
  <c r="G41" i="2"/>
  <c r="K41" i="2" s="1"/>
  <c r="M41" i="2" s="1"/>
  <c r="K19" i="2"/>
  <c r="M19" i="2" s="1"/>
  <c r="H18" i="2"/>
  <c r="H40" i="2" s="1"/>
  <c r="H8" i="3"/>
  <c r="H17" i="2"/>
  <c r="H39" i="2" s="1"/>
  <c r="G42" i="2"/>
  <c r="H22" i="1"/>
  <c r="H14" i="2"/>
  <c r="H15" i="2"/>
  <c r="H37" i="2" s="1"/>
  <c r="H16" i="2"/>
  <c r="H38" i="2" s="1"/>
  <c r="H7" i="3"/>
  <c r="H19" i="2"/>
  <c r="H41" i="2" s="1"/>
  <c r="G37" i="1"/>
  <c r="J20" i="2"/>
  <c r="J42" i="2" s="1"/>
  <c r="I23" i="1"/>
  <c r="G7" i="3"/>
  <c r="G14" i="2"/>
  <c r="G15" i="2"/>
  <c r="G16" i="2"/>
  <c r="I37" i="1"/>
  <c r="I20" i="2"/>
  <c r="I42" i="2" s="1"/>
  <c r="I8" i="3"/>
  <c r="I17" i="2"/>
  <c r="I39" i="2" s="1"/>
  <c r="I18" i="2"/>
  <c r="I40" i="2" s="1"/>
  <c r="J8" i="3"/>
  <c r="J17" i="2"/>
  <c r="J39" i="2" s="1"/>
  <c r="J18" i="2"/>
  <c r="J40" i="2" s="1"/>
  <c r="G8" i="3"/>
  <c r="G17" i="2"/>
  <c r="G18" i="2"/>
  <c r="I14" i="2"/>
  <c r="I15" i="2"/>
  <c r="I37" i="2" s="1"/>
  <c r="I16" i="2"/>
  <c r="I38" i="2" s="1"/>
  <c r="I7" i="3"/>
  <c r="G21" i="2" l="1"/>
  <c r="G36" i="2"/>
  <c r="K14" i="2"/>
  <c r="K7" i="3"/>
  <c r="L7" i="3" s="1"/>
  <c r="H36" i="2"/>
  <c r="H44" i="2" s="1"/>
  <c r="H21" i="2"/>
  <c r="J21" i="2"/>
  <c r="J36" i="2"/>
  <c r="J44" i="2" s="1"/>
  <c r="I21" i="2"/>
  <c r="I36" i="2"/>
  <c r="I44" i="2" s="1"/>
  <c r="K42" i="2"/>
  <c r="M42" i="2" s="1"/>
  <c r="G40" i="2"/>
  <c r="K40" i="2" s="1"/>
  <c r="M40" i="2" s="1"/>
  <c r="K18" i="2"/>
  <c r="M18" i="2" s="1"/>
  <c r="K20" i="2"/>
  <c r="M20" i="2" s="1"/>
  <c r="K8" i="3"/>
  <c r="L8" i="3" s="1"/>
  <c r="G39" i="2"/>
  <c r="K39" i="2" s="1"/>
  <c r="M39" i="2" s="1"/>
  <c r="K17" i="2"/>
  <c r="M17" i="2" s="1"/>
  <c r="G38" i="2"/>
  <c r="K38" i="2" s="1"/>
  <c r="M38" i="2" s="1"/>
  <c r="K16" i="2"/>
  <c r="M16" i="2" s="1"/>
  <c r="G37" i="2"/>
  <c r="K37" i="2" s="1"/>
  <c r="M37" i="2" s="1"/>
  <c r="K15" i="2"/>
  <c r="M15" i="2" s="1"/>
  <c r="M14" i="2" l="1"/>
  <c r="K21" i="2"/>
  <c r="M21" i="2" s="1"/>
  <c r="G44" i="2"/>
  <c r="K36" i="2"/>
  <c r="K44" i="2" l="1"/>
  <c r="M44" i="2" s="1"/>
  <c r="M36" i="2"/>
</calcChain>
</file>

<file path=xl/sharedStrings.xml><?xml version="1.0" encoding="utf-8"?>
<sst xmlns="http://schemas.openxmlformats.org/spreadsheetml/2006/main" count="272" uniqueCount="179">
  <si>
    <t>GOBITUMEN LIMITED</t>
  </si>
  <si>
    <t>REVENUE BUDGET FOR THE YEAR 2026</t>
  </si>
  <si>
    <t>Scenario</t>
  </si>
  <si>
    <t>Worst case</t>
  </si>
  <si>
    <t>FY 2025 ANALYSIS</t>
  </si>
  <si>
    <t>2026 REVENUE BUDGET</t>
  </si>
  <si>
    <t>in '000</t>
  </si>
  <si>
    <t>2025 PROJECTION</t>
  </si>
  <si>
    <t>2025 BUDGET</t>
  </si>
  <si>
    <t>% VARIANCE</t>
  </si>
  <si>
    <t>Q1</t>
  </si>
  <si>
    <t>Q2</t>
  </si>
  <si>
    <t>Q3</t>
  </si>
  <si>
    <t>Q4</t>
  </si>
  <si>
    <t>FY</t>
  </si>
  <si>
    <t xml:space="preserve"> Growth %</t>
  </si>
  <si>
    <t>Sales Volume( KG)</t>
  </si>
  <si>
    <t>Bitumen Emulsions</t>
  </si>
  <si>
    <t>PMB</t>
  </si>
  <si>
    <t>AC 10</t>
  </si>
  <si>
    <t>AC 20</t>
  </si>
  <si>
    <t>Sales Mix</t>
  </si>
  <si>
    <t>Price per Unit(GHC)</t>
  </si>
  <si>
    <t xml:space="preserve">Bitumen Emulsions </t>
  </si>
  <si>
    <t>GHC'000</t>
  </si>
  <si>
    <t>Total Revenue</t>
  </si>
  <si>
    <t>&gt;&gt; Average Revenue Growth</t>
  </si>
  <si>
    <t>Scenarios:</t>
  </si>
  <si>
    <t>Revenue % growth</t>
  </si>
  <si>
    <t>Selected Case</t>
  </si>
  <si>
    <t>Best case</t>
  </si>
  <si>
    <t>Base case</t>
  </si>
  <si>
    <t>DIRECT MATERIAL PURCHASES BUDGET FY 2026</t>
  </si>
  <si>
    <t>2026 RAW MATERIALS PURCHASES BUDGET</t>
  </si>
  <si>
    <t>2025 PROJECTED</t>
  </si>
  <si>
    <t>Production/Sales Volume'000</t>
  </si>
  <si>
    <t>Bitumen Emulsions (Mt)</t>
  </si>
  <si>
    <t>PMB (Mt)</t>
  </si>
  <si>
    <t>AC 10 direct Sales (kg)</t>
  </si>
  <si>
    <t>AC 20 direct Sales (kg)</t>
  </si>
  <si>
    <t>Direct Material Used in prodn/sales:'000</t>
  </si>
  <si>
    <t>Amino (kg)</t>
  </si>
  <si>
    <t>HCL (kg)</t>
  </si>
  <si>
    <t>Production water (m3)</t>
  </si>
  <si>
    <t>Polymer (SBS)</t>
  </si>
  <si>
    <t>Cross Link (kg)</t>
  </si>
  <si>
    <t>AC 10 (KG) Prodn+Direct Sales</t>
  </si>
  <si>
    <t>AC 20 (KG) Prodn+Direct Sales</t>
  </si>
  <si>
    <t xml:space="preserve"> </t>
  </si>
  <si>
    <t>Unit Cost of Direct material:</t>
  </si>
  <si>
    <t>AC 10 (MT)</t>
  </si>
  <si>
    <t>AC 20 (MT)</t>
  </si>
  <si>
    <t xml:space="preserve">Total Cost of Raw Mat. used in production and Direct Sales </t>
  </si>
  <si>
    <t>(GHC'000)</t>
  </si>
  <si>
    <t xml:space="preserve">Amino </t>
  </si>
  <si>
    <t xml:space="preserve">HCL </t>
  </si>
  <si>
    <t xml:space="preserve">Production water </t>
  </si>
  <si>
    <t xml:space="preserve">Polymer </t>
  </si>
  <si>
    <t xml:space="preserve">Cross Link </t>
  </si>
  <si>
    <t xml:space="preserve">AC 10 </t>
  </si>
  <si>
    <t xml:space="preserve">AC 20 </t>
  </si>
  <si>
    <t>Total Cost (Direct Materials)</t>
  </si>
  <si>
    <t>PRODUCTION OVERHEADS</t>
  </si>
  <si>
    <t>2026 BUDGETED FACTORY OVERHEADS</t>
  </si>
  <si>
    <t>in GHC'000</t>
  </si>
  <si>
    <t>2025 PROJECTIONS</t>
  </si>
  <si>
    <t>Production Volume:</t>
  </si>
  <si>
    <t>Emulsions</t>
  </si>
  <si>
    <t>Polymer modified Bitumen</t>
  </si>
  <si>
    <t>Direct and Indirect Labor Expense:</t>
  </si>
  <si>
    <t>2. Other Factory Epenses</t>
  </si>
  <si>
    <t>HSSE Factory</t>
  </si>
  <si>
    <t>Electricity for Gobitumen</t>
  </si>
  <si>
    <t>Fuel consumption</t>
  </si>
  <si>
    <t>Lab expenses</t>
  </si>
  <si>
    <t>Maintenance of Plants ,Machinery &amp;Equipments</t>
  </si>
  <si>
    <t>Security Services</t>
  </si>
  <si>
    <t>Cleaning Services</t>
  </si>
  <si>
    <t>Permit &amp; Licenses</t>
  </si>
  <si>
    <t>Insurance expense</t>
  </si>
  <si>
    <t>Depreciation:Plant,Machinery and Equipment</t>
  </si>
  <si>
    <t>Production Overheads</t>
  </si>
  <si>
    <t>SELLING, GENERAL &amp; ADMINISTRATIVE BUDGET</t>
  </si>
  <si>
    <t>2026 BUDGETED SELLING,GENERAL AND ADMINISTRATIVE EXPENSES</t>
  </si>
  <si>
    <t>VARIANCE</t>
  </si>
  <si>
    <t>Growth%</t>
  </si>
  <si>
    <t>Salaries (Administrative)</t>
  </si>
  <si>
    <t>Staff Cost - Training</t>
  </si>
  <si>
    <t>Subscriptions</t>
  </si>
  <si>
    <t>Insurance Expense</t>
  </si>
  <si>
    <t>Maintenance Of Computers &amp; Accessories</t>
  </si>
  <si>
    <t>Maintenance Of Administrative Building</t>
  </si>
  <si>
    <t>Administration Vehicles Maintenance</t>
  </si>
  <si>
    <t>Electricity</t>
  </si>
  <si>
    <t>Corporate Social Responsibility-Donations</t>
  </si>
  <si>
    <t>Software License</t>
  </si>
  <si>
    <t>Board of Directors Expenses</t>
  </si>
  <si>
    <t>Canteen</t>
  </si>
  <si>
    <t>Postage &amp; Telephone</t>
  </si>
  <si>
    <t>Professional Services</t>
  </si>
  <si>
    <t>Printing &amp; Stationery</t>
  </si>
  <si>
    <t>Transport Expenses</t>
  </si>
  <si>
    <t>Travels</t>
  </si>
  <si>
    <t>-</t>
  </si>
  <si>
    <t>Business Promotion</t>
  </si>
  <si>
    <t>Audit Expenses</t>
  </si>
  <si>
    <t>Incorporation Expenses</t>
  </si>
  <si>
    <t>Other Hsse Expenses</t>
  </si>
  <si>
    <t>Bank Charges</t>
  </si>
  <si>
    <t>Foreign Exchage Losses</t>
  </si>
  <si>
    <t>Depreciation</t>
  </si>
  <si>
    <t>SG&amp;A Expense</t>
  </si>
  <si>
    <t>CAPEX ESTIMATE FOR 2026</t>
  </si>
  <si>
    <t>A/C CODE</t>
  </si>
  <si>
    <t>DESCRIPTION</t>
  </si>
  <si>
    <t>QTY</t>
  </si>
  <si>
    <t>AMOUNT</t>
  </si>
  <si>
    <t>BASIS OF APPORTIONMENT</t>
  </si>
  <si>
    <t>ABT LTD</t>
  </si>
  <si>
    <t>GOBITUMEN LTD</t>
  </si>
  <si>
    <t>GHS</t>
  </si>
  <si>
    <t>FIXTURES &amp; FIXTURES</t>
  </si>
  <si>
    <t>Water Hydrant</t>
  </si>
  <si>
    <t>Working Hours</t>
  </si>
  <si>
    <t>Access Control System</t>
  </si>
  <si>
    <t>Motion sensors</t>
  </si>
  <si>
    <t>RAISING OF ALL PANELS, JUNCTION BOXES, TRANSFORMERS CONTROL PANELS</t>
  </si>
  <si>
    <t>RAISING OF SERVER RACK IN SERVER ROOM</t>
  </si>
  <si>
    <t>Fabricating  of waste bins &amp; barrel containment trays</t>
  </si>
  <si>
    <t xml:space="preserve">Irrigation set up </t>
  </si>
  <si>
    <t>water source for the truck park washrooms</t>
  </si>
  <si>
    <t>Safety signages and labels</t>
  </si>
  <si>
    <t>Safety equipments</t>
  </si>
  <si>
    <t>DINNING TABLE</t>
  </si>
  <si>
    <t>DINNING TABLE CHAIRS</t>
  </si>
  <si>
    <t xml:space="preserve">LAB CHAIRS </t>
  </si>
  <si>
    <t>EXECUTIVE SWIVEL CHAIR</t>
  </si>
  <si>
    <t>SWIVEL CHAIRS</t>
  </si>
  <si>
    <t>SUB-TOTAL</t>
  </si>
  <si>
    <t>COMPUTER AND ACCESSORIES</t>
  </si>
  <si>
    <t>LAPTOP FOR PROGRAMMING CONTROLS</t>
  </si>
  <si>
    <t>Allocated To Gobitumen</t>
  </si>
  <si>
    <t>DESKTOP COMPUTER</t>
  </si>
  <si>
    <t>Aloocated To Gobitumen</t>
  </si>
  <si>
    <t>LAPTOP COMPUTER</t>
  </si>
  <si>
    <t>EQUIPMENTS</t>
  </si>
  <si>
    <t>LAB</t>
  </si>
  <si>
    <t>FUME CONTAINMENT/ EXTRACTION SYSTEM</t>
  </si>
  <si>
    <t>ATMO AGILIS BITUMEN EMULSION PILOT - VIALAB</t>
  </si>
  <si>
    <t>MOISTURE ANALYSER- VIALAB</t>
  </si>
  <si>
    <t>SETTLING TENDENCY APPARATUS - VIALAB</t>
  </si>
  <si>
    <t>BREAKING INDEX APPARATUS - VIALAB</t>
  </si>
  <si>
    <t>Safety</t>
  </si>
  <si>
    <t>Mobile First Aid Container</t>
  </si>
  <si>
    <t>Movable security post</t>
  </si>
  <si>
    <t>PLANT AND MACHINERY</t>
  </si>
  <si>
    <t>THERMOMETER INSTALLATION ON PIPELINES + HEAT TRACING CABLE REPAIR</t>
  </si>
  <si>
    <t>PLUG VALVES &amp; TRIAC PNEUMATIC ACTUATORS</t>
  </si>
  <si>
    <t>Value Of Non-Current Assets</t>
  </si>
  <si>
    <t>FIBER OPTIC COMMUNICATION CARDS (RED LION CONTROLS 106FX2-ST)</t>
  </si>
  <si>
    <t>VFD COMMUNICATION CARDS SIEMENS CU240E-2 PN IP6SL3244-0BB23-2FA0</t>
  </si>
  <si>
    <t>ARI ACTUATORS</t>
  </si>
  <si>
    <t>GENERAL PLANNED SPARES</t>
  </si>
  <si>
    <t>SIEMENS PLC profinet, profibus, &amp; cards</t>
  </si>
  <si>
    <t>WORK BENCH, TOOLS, TOOLS RACK &amp; SHELTER FOR MAINTENANCE AND REPAIR WORKS</t>
  </si>
  <si>
    <t>XPI - 50 Cables (1000meters)</t>
  </si>
  <si>
    <t>XPI - 31.5 Cables (1000meters)</t>
  </si>
  <si>
    <t>Joint kits for XPI 50 &amp; 31.5 cables (200kits)</t>
  </si>
  <si>
    <t>FUSE SPARES</t>
  </si>
  <si>
    <t>2NOS. FLEXIBLE HOSE AT JETTY &amp; INSTALLATION</t>
  </si>
  <si>
    <t>CORROSION CONTROL ON BITUMEN PIPELINE, PAINTING OF ENTIRE 3.2KM  PIPELINE &amp; CATHODIC PROTECTION AGAINST RUST</t>
  </si>
  <si>
    <t>ISOLATORS FOR RMU</t>
  </si>
  <si>
    <t>40 KVA GENERATOR/EQUIVALENT
 SOLLAR SYSTEM</t>
  </si>
  <si>
    <t>MOTOR VEHICLE</t>
  </si>
  <si>
    <t xml:space="preserve">PRODUCTION VEHICLE </t>
  </si>
  <si>
    <t>ADMINISTRATION VEHICLE</t>
  </si>
  <si>
    <t>BUILDING</t>
  </si>
  <si>
    <t>LAND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</si>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</sst>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_ ;\-#,##0\ "/>
    <numFmt numFmtId="166" formatCode="_-* #,##0.00\ _л_в_._-;\-* #,##0.00\ _л_в_._-;_-* &quot;-&quot;??\ _л_в_._-;_-@_-"/>
    <numFmt numFmtId="167" formatCode="0.0%"/>
    <numFmt numFmtId="168" formatCode="_-* #,##0\ _л_в_._-;\-* #,##0\ _л_в_._-;_-* &quot;-&quot;??\ _л_в_._-;_-@_-"/>
    <numFmt numFmtId="169" formatCode="#,##0.00_ ;[Red]\-#,##0.00\ "/>
    <numFmt numFmtId="170" formatCode="_(* #,##0_);_(* \(#,##0\);_(* &quot;-&quot;??_);_(@_)"/>
    <numFmt numFmtId="171" formatCode="0.00_);\(0.00\)"/>
    <numFmt numFmtId="172" formatCode="0_);\(0\)"/>
    <numFmt numFmtId="173" formatCode="#,##0.00000_ ;\-#,##0.00000\ "/>
    <numFmt numFmtId="174" formatCode="#,##0.0000000000_ ;\-#,##0.0000000000\ "/>
  </numFmts>
  <fonts count="5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Arial"/>
      <family val="2"/>
    </font>
    <font>
      <b/>
      <sz val="14"/>
      <color rgb="FF002060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002060"/>
      <name val="Arial"/>
      <family val="2"/>
    </font>
    <font>
      <sz val="9"/>
      <color theme="0"/>
      <name val="Arial"/>
      <family val="2"/>
    </font>
    <font>
      <sz val="9"/>
      <color rgb="FF00206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rgb="FFFF0000"/>
      <name val="Arial"/>
      <family val="2"/>
      <charset val="204"/>
    </font>
    <font>
      <sz val="9"/>
      <color rgb="FF0070C0"/>
      <name val="Arial"/>
      <family val="2"/>
      <charset val="204"/>
    </font>
    <font>
      <b/>
      <sz val="12"/>
      <color rgb="FF002060"/>
      <name val="Arial"/>
      <family val="2"/>
    </font>
    <font>
      <b/>
      <sz val="10"/>
      <color rgb="FF00206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 tint="0.24994659260841701"/>
      <name val="Calibri"/>
      <family val="2"/>
      <scheme val="minor"/>
    </font>
    <font>
      <b/>
      <sz val="12"/>
      <color rgb="FF002060"/>
      <name val="Arial"/>
      <family val="2"/>
      <charset val="204"/>
    </font>
    <font>
      <b/>
      <sz val="26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i/>
      <sz val="9"/>
      <color theme="1"/>
      <name val="Arial"/>
      <family val="2"/>
      <charset val="204"/>
    </font>
    <font>
      <i/>
      <sz val="9"/>
      <color theme="1"/>
      <name val="Arial"/>
      <family val="2"/>
    </font>
    <font>
      <b/>
      <sz val="18"/>
      <color rgb="FF00206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omic Sans MS"/>
      <family val="4"/>
    </font>
    <font>
      <b/>
      <sz val="26"/>
      <color theme="1"/>
      <name val="Comic Sans MS"/>
      <family val="4"/>
    </font>
    <font>
      <b/>
      <sz val="14"/>
      <color theme="0"/>
      <name val="Comic Sans MS"/>
      <family val="4"/>
    </font>
    <font>
      <b/>
      <sz val="14"/>
      <color theme="1"/>
      <name val="Comic Sans MS"/>
      <family val="4"/>
    </font>
    <font>
      <sz val="12"/>
      <color theme="1"/>
      <name val="Comic Sans MS"/>
      <family val="4"/>
    </font>
    <font>
      <sz val="14"/>
      <color theme="1"/>
      <name val="Comic Sans MS"/>
      <family val="4"/>
    </font>
    <font>
      <b/>
      <sz val="11"/>
      <color theme="1"/>
      <name val="Comic Sans MS"/>
      <family val="4"/>
    </font>
    <font>
      <b/>
      <sz val="12"/>
      <color theme="1"/>
      <name val="Comic Sans MS"/>
      <family val="4"/>
    </font>
    <font>
      <sz val="12"/>
      <color rgb="FF000000"/>
      <name val="Comic Sans MS"/>
      <family val="4"/>
    </font>
    <font>
      <sz val="11"/>
      <name val="Comic Sans MS"/>
      <family val="4"/>
    </font>
    <font>
      <b/>
      <sz val="11"/>
      <name val="Comic Sans MS"/>
      <family val="4"/>
    </font>
    <font>
      <sz val="10"/>
      <name val="Comic Sans MS"/>
      <family val="4"/>
    </font>
    <font>
      <sz val="10"/>
      <color theme="1"/>
      <name val="Comic Sans MS"/>
      <family val="4"/>
    </font>
    <font>
      <sz val="18"/>
      <color theme="1"/>
      <name val="Comic Sans MS"/>
      <family val="4"/>
    </font>
    <font>
      <b/>
      <sz val="12"/>
      <color rgb="FF000000"/>
      <name val="Comic Sans MS"/>
      <family val="4"/>
    </font>
    <font>
      <sz val="11"/>
      <color rgb="FF000000"/>
      <name val="Comic Sans MS"/>
      <family val="4"/>
    </font>
    <font>
      <sz val="12"/>
      <name val="Comic Sans MS"/>
      <family val="4"/>
    </font>
    <font>
      <b/>
      <sz val="10"/>
      <name val="Comic Sans MS"/>
      <family val="4"/>
    </font>
    <font>
      <b/>
      <sz val="9"/>
      <name val="Comic Sans MS"/>
      <family val="4"/>
    </font>
    <font>
      <sz val="11"/>
      <color rgb="FFFF0000"/>
      <name val="Comic Sans MS"/>
      <family val="4"/>
    </font>
    <font>
      <sz val="12"/>
      <color rgb="FFFF0000"/>
      <name val="Comic Sans MS"/>
      <family val="4"/>
    </font>
    <font>
      <b/>
      <sz val="11"/>
      <color rgb="FFFF0000"/>
      <name val="Comic Sans MS"/>
      <family val="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Gray">
        <bgColor theme="0" tint="-4.9989318521683403E-2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499984740745262"/>
        <bgColor indexed="64"/>
      </patternFill>
    </fill>
  </fills>
  <borders count="49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ck">
        <color rgb="FFFF0000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Protection="0">
      <alignment horizontal="left" vertical="center" indent="1"/>
    </xf>
    <xf numFmtId="0" fontId="33" fillId="0" borderId="0"/>
    <xf numFmtId="0" fontId="33" fillId="0" borderId="0"/>
  </cellStyleXfs>
  <cellXfs count="48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0" fontId="5" fillId="0" borderId="1" xfId="0" applyFont="1" applyBorder="1"/>
    <xf numFmtId="0" fontId="5" fillId="0" borderId="2" xfId="0" applyFont="1" applyBorder="1"/>
    <xf numFmtId="165" fontId="5" fillId="0" borderId="0" xfId="0" applyNumberFormat="1" applyFont="1"/>
    <xf numFmtId="0" fontId="5" fillId="2" borderId="0" xfId="0" applyFont="1" applyFill="1"/>
    <xf numFmtId="0" fontId="7" fillId="3" borderId="0" xfId="0" applyFont="1" applyFill="1" applyAlignment="1">
      <alignment horizontal="center"/>
    </xf>
    <xf numFmtId="0" fontId="5" fillId="2" borderId="0" xfId="0" applyFont="1" applyFill="1" applyAlignment="1">
      <alignment wrapText="1"/>
    </xf>
    <xf numFmtId="164" fontId="8" fillId="0" borderId="0" xfId="0" applyNumberFormat="1" applyFont="1"/>
    <xf numFmtId="0" fontId="8" fillId="2" borderId="3" xfId="0" applyFont="1" applyFill="1" applyBorder="1"/>
    <xf numFmtId="0" fontId="8" fillId="2" borderId="3" xfId="0" applyFont="1" applyFill="1" applyBorder="1" applyAlignment="1">
      <alignment horizontal="left" wrapText="1" indent="4"/>
    </xf>
    <xf numFmtId="0" fontId="8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left" indent="3"/>
    </xf>
    <xf numFmtId="0" fontId="8" fillId="2" borderId="0" xfId="0" applyFont="1" applyFill="1" applyAlignment="1">
      <alignment horizontal="right"/>
    </xf>
    <xf numFmtId="0" fontId="8" fillId="2" borderId="3" xfId="0" applyFont="1" applyFill="1" applyBorder="1" applyAlignment="1">
      <alignment horizontal="right" wrapText="1"/>
    </xf>
    <xf numFmtId="0" fontId="9" fillId="0" borderId="0" xfId="0" applyFont="1"/>
    <xf numFmtId="164" fontId="9" fillId="0" borderId="0" xfId="0" applyNumberFormat="1" applyFont="1"/>
    <xf numFmtId="164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2" borderId="0" xfId="0" applyFont="1" applyFill="1" applyAlignment="1">
      <alignment horizontal="right"/>
    </xf>
    <xf numFmtId="0" fontId="10" fillId="0" borderId="0" xfId="0" applyFont="1"/>
    <xf numFmtId="0" fontId="6" fillId="2" borderId="0" xfId="0" applyFont="1" applyFill="1"/>
    <xf numFmtId="165" fontId="5" fillId="2" borderId="0" xfId="1" applyNumberFormat="1" applyFont="1" applyFill="1" applyAlignment="1">
      <alignment horizontal="center"/>
    </xf>
    <xf numFmtId="165" fontId="6" fillId="2" borderId="0" xfId="1" applyNumberFormat="1" applyFont="1" applyFill="1" applyAlignment="1">
      <alignment horizontal="center"/>
    </xf>
    <xf numFmtId="9" fontId="5" fillId="2" borderId="0" xfId="2" applyFont="1" applyFill="1" applyAlignment="1">
      <alignment horizontal="center"/>
    </xf>
    <xf numFmtId="165" fontId="6" fillId="2" borderId="0" xfId="1" applyNumberFormat="1" applyFont="1" applyFill="1"/>
    <xf numFmtId="167" fontId="6" fillId="2" borderId="0" xfId="2" applyNumberFormat="1" applyFont="1" applyFill="1"/>
    <xf numFmtId="0" fontId="7" fillId="0" borderId="0" xfId="0" applyFont="1"/>
    <xf numFmtId="165" fontId="9" fillId="0" borderId="0" xfId="1" applyNumberFormat="1" applyFont="1" applyFill="1" applyBorder="1"/>
    <xf numFmtId="165" fontId="5" fillId="0" borderId="0" xfId="1" applyNumberFormat="1" applyFont="1" applyFill="1" applyBorder="1"/>
    <xf numFmtId="165" fontId="6" fillId="2" borderId="0" xfId="1" applyNumberFormat="1" applyFont="1" applyFill="1" applyBorder="1"/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3" fontId="6" fillId="2" borderId="0" xfId="0" applyNumberFormat="1" applyFont="1" applyFill="1" applyAlignment="1">
      <alignment horizontal="center"/>
    </xf>
    <xf numFmtId="168" fontId="5" fillId="0" borderId="0" xfId="1" applyNumberFormat="1" applyFont="1"/>
    <xf numFmtId="3" fontId="6" fillId="2" borderId="0" xfId="0" applyNumberFormat="1" applyFont="1" applyFill="1"/>
    <xf numFmtId="166" fontId="5" fillId="2" borderId="0" xfId="0" applyNumberFormat="1" applyFont="1" applyFill="1"/>
    <xf numFmtId="164" fontId="9" fillId="2" borderId="0" xfId="0" applyNumberFormat="1" applyFont="1" applyFill="1"/>
    <xf numFmtId="168" fontId="5" fillId="2" borderId="0" xfId="1" applyNumberFormat="1" applyFont="1" applyFill="1" applyAlignment="1"/>
    <xf numFmtId="168" fontId="5" fillId="2" borderId="0" xfId="1" applyNumberFormat="1" applyFont="1" applyFill="1" applyAlignment="1">
      <alignment horizontal="center"/>
    </xf>
    <xf numFmtId="165" fontId="9" fillId="0" borderId="0" xfId="0" applyNumberFormat="1" applyFont="1"/>
    <xf numFmtId="168" fontId="5" fillId="2" borderId="0" xfId="0" applyNumberFormat="1" applyFont="1" applyFill="1"/>
    <xf numFmtId="167" fontId="5" fillId="2" borderId="0" xfId="2" applyNumberFormat="1" applyFont="1" applyFill="1" applyAlignment="1">
      <alignment horizontal="center"/>
    </xf>
    <xf numFmtId="167" fontId="5" fillId="2" borderId="0" xfId="0" applyNumberFormat="1" applyFont="1" applyFill="1" applyAlignment="1">
      <alignment horizontal="center"/>
    </xf>
    <xf numFmtId="167" fontId="6" fillId="2" borderId="0" xfId="0" applyNumberFormat="1" applyFont="1" applyFill="1"/>
    <xf numFmtId="166" fontId="7" fillId="0" borderId="0" xfId="1" applyFont="1" applyFill="1"/>
    <xf numFmtId="164" fontId="5" fillId="2" borderId="0" xfId="0" applyNumberFormat="1" applyFont="1" applyFill="1"/>
    <xf numFmtId="0" fontId="11" fillId="0" borderId="0" xfId="0" applyFont="1"/>
    <xf numFmtId="164" fontId="11" fillId="0" borderId="0" xfId="0" applyNumberFormat="1" applyFont="1"/>
    <xf numFmtId="167" fontId="5" fillId="2" borderId="0" xfId="0" applyNumberFormat="1" applyFont="1" applyFill="1"/>
    <xf numFmtId="2" fontId="5" fillId="4" borderId="0" xfId="0" applyNumberFormat="1" applyFont="1" applyFill="1" applyAlignment="1">
      <alignment horizontal="center"/>
    </xf>
    <xf numFmtId="0" fontId="5" fillId="4" borderId="0" xfId="0" applyFont="1" applyFill="1"/>
    <xf numFmtId="2" fontId="6" fillId="4" borderId="0" xfId="0" applyNumberFormat="1" applyFont="1" applyFill="1" applyAlignment="1">
      <alignment horizontal="right"/>
    </xf>
    <xf numFmtId="9" fontId="6" fillId="2" borderId="0" xfId="2" applyFont="1" applyFill="1"/>
    <xf numFmtId="2" fontId="5" fillId="0" borderId="0" xfId="0" applyNumberFormat="1" applyFont="1"/>
    <xf numFmtId="0" fontId="8" fillId="0" borderId="0" xfId="0" applyFont="1"/>
    <xf numFmtId="2" fontId="5" fillId="2" borderId="0" xfId="0" applyNumberFormat="1" applyFont="1" applyFill="1" applyAlignment="1">
      <alignment horizontal="center"/>
    </xf>
    <xf numFmtId="2" fontId="6" fillId="2" borderId="0" xfId="0" applyNumberFormat="1" applyFont="1" applyFill="1" applyAlignment="1">
      <alignment horizontal="center"/>
    </xf>
    <xf numFmtId="3" fontId="6" fillId="2" borderId="4" xfId="0" applyNumberFormat="1" applyFont="1" applyFill="1" applyBorder="1"/>
    <xf numFmtId="3" fontId="6" fillId="2" borderId="4" xfId="0" applyNumberFormat="1" applyFont="1" applyFill="1" applyBorder="1" applyAlignment="1">
      <alignment horizontal="center"/>
    </xf>
    <xf numFmtId="9" fontId="6" fillId="2" borderId="4" xfId="2" applyFont="1" applyFill="1" applyBorder="1" applyAlignment="1">
      <alignment horizontal="center"/>
    </xf>
    <xf numFmtId="3" fontId="5" fillId="2" borderId="0" xfId="0" applyNumberFormat="1" applyFont="1" applyFill="1"/>
    <xf numFmtId="3" fontId="6" fillId="2" borderId="4" xfId="0" applyNumberFormat="1" applyFont="1" applyFill="1" applyBorder="1" applyAlignment="1">
      <alignment horizontal="right"/>
    </xf>
    <xf numFmtId="9" fontId="6" fillId="2" borderId="4" xfId="2" applyFont="1" applyFill="1" applyBorder="1" applyAlignment="1"/>
    <xf numFmtId="9" fontId="6" fillId="2" borderId="0" xfId="2" applyFont="1" applyFill="1" applyAlignment="1">
      <alignment horizontal="center"/>
    </xf>
    <xf numFmtId="3" fontId="6" fillId="2" borderId="0" xfId="0" applyNumberFormat="1" applyFont="1" applyFill="1" applyAlignment="1">
      <alignment horizontal="right"/>
    </xf>
    <xf numFmtId="167" fontId="6" fillId="2" borderId="0" xfId="2" applyNumberFormat="1" applyFont="1" applyFill="1" applyAlignment="1"/>
    <xf numFmtId="0" fontId="8" fillId="2" borderId="5" xfId="0" applyFont="1" applyFill="1" applyBorder="1"/>
    <xf numFmtId="3" fontId="8" fillId="2" borderId="5" xfId="0" applyNumberFormat="1" applyFont="1" applyFill="1" applyBorder="1" applyAlignment="1">
      <alignment horizontal="center"/>
    </xf>
    <xf numFmtId="9" fontId="8" fillId="2" borderId="5" xfId="2" applyFont="1" applyFill="1" applyBorder="1" applyAlignment="1">
      <alignment horizontal="center"/>
    </xf>
    <xf numFmtId="3" fontId="8" fillId="2" borderId="0" xfId="0" applyNumberFormat="1" applyFont="1" applyFill="1"/>
    <xf numFmtId="3" fontId="8" fillId="2" borderId="5" xfId="0" applyNumberFormat="1" applyFont="1" applyFill="1" applyBorder="1" applyAlignment="1">
      <alignment horizontal="right"/>
    </xf>
    <xf numFmtId="167" fontId="8" fillId="2" borderId="5" xfId="2" applyNumberFormat="1" applyFont="1" applyFill="1" applyBorder="1"/>
    <xf numFmtId="3" fontId="5" fillId="0" borderId="0" xfId="0" applyNumberFormat="1" applyFont="1"/>
    <xf numFmtId="166" fontId="6" fillId="0" borderId="0" xfId="1" applyFont="1"/>
    <xf numFmtId="0" fontId="12" fillId="5" borderId="0" xfId="0" applyFont="1" applyFill="1"/>
    <xf numFmtId="0" fontId="13" fillId="5" borderId="0" xfId="0" applyFont="1" applyFill="1"/>
    <xf numFmtId="0" fontId="0" fillId="5" borderId="0" xfId="0" applyFill="1"/>
    <xf numFmtId="166" fontId="5" fillId="0" borderId="0" xfId="1" applyFont="1"/>
    <xf numFmtId="9" fontId="14" fillId="5" borderId="0" xfId="2" applyFont="1" applyFill="1"/>
    <xf numFmtId="9" fontId="13" fillId="5" borderId="0" xfId="2" applyFont="1" applyFill="1"/>
    <xf numFmtId="0" fontId="13" fillId="6" borderId="0" xfId="0" applyFont="1" applyFill="1"/>
    <xf numFmtId="0" fontId="0" fillId="6" borderId="0" xfId="0" applyFill="1"/>
    <xf numFmtId="9" fontId="15" fillId="5" borderId="0" xfId="2" applyFont="1" applyFill="1"/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8" fillId="0" borderId="0" xfId="0" applyFont="1"/>
    <xf numFmtId="0" fontId="18" fillId="2" borderId="0" xfId="0" applyFont="1" applyFill="1"/>
    <xf numFmtId="0" fontId="17" fillId="0" borderId="0" xfId="0" applyFont="1" applyAlignment="1">
      <alignment horizontal="center"/>
    </xf>
    <xf numFmtId="0" fontId="19" fillId="7" borderId="0" xfId="0" applyFont="1" applyFill="1" applyAlignment="1">
      <alignment horizontal="left"/>
    </xf>
    <xf numFmtId="0" fontId="18" fillId="2" borderId="0" xfId="0" applyFont="1" applyFill="1" applyAlignment="1">
      <alignment wrapText="1"/>
    </xf>
    <xf numFmtId="0" fontId="19" fillId="7" borderId="0" xfId="0" applyFont="1" applyFill="1" applyAlignment="1">
      <alignment horizontal="center"/>
    </xf>
    <xf numFmtId="0" fontId="17" fillId="2" borderId="3" xfId="0" applyFont="1" applyFill="1" applyBorder="1"/>
    <xf numFmtId="0" fontId="17" fillId="2" borderId="3" xfId="0" applyFont="1" applyFill="1" applyBorder="1" applyAlignment="1">
      <alignment horizontal="left" indent="4"/>
    </xf>
    <xf numFmtId="0" fontId="17" fillId="2" borderId="3" xfId="0" applyFont="1" applyFill="1" applyBorder="1" applyAlignment="1">
      <alignment horizontal="right"/>
    </xf>
    <xf numFmtId="0" fontId="17" fillId="0" borderId="0" xfId="0" applyFont="1" applyAlignment="1">
      <alignment horizontal="right"/>
    </xf>
    <xf numFmtId="0" fontId="17" fillId="2" borderId="3" xfId="0" applyFont="1" applyFill="1" applyBorder="1" applyAlignment="1">
      <alignment horizontal="right" wrapText="1"/>
    </xf>
    <xf numFmtId="164" fontId="18" fillId="0" borderId="0" xfId="0" applyNumberFormat="1" applyFont="1"/>
    <xf numFmtId="0" fontId="20" fillId="2" borderId="0" xfId="0" applyFont="1" applyFill="1"/>
    <xf numFmtId="9" fontId="18" fillId="2" borderId="0" xfId="2" applyFont="1" applyFill="1"/>
    <xf numFmtId="0" fontId="18" fillId="2" borderId="0" xfId="0" applyFont="1" applyFill="1" applyAlignment="1">
      <alignment horizontal="center"/>
    </xf>
    <xf numFmtId="168" fontId="18" fillId="2" borderId="0" xfId="1" applyNumberFormat="1" applyFont="1" applyFill="1" applyAlignment="1">
      <alignment horizontal="right"/>
    </xf>
    <xf numFmtId="166" fontId="18" fillId="2" borderId="0" xfId="1" applyFont="1" applyFill="1"/>
    <xf numFmtId="9" fontId="21" fillId="2" borderId="0" xfId="2" applyFont="1" applyFill="1" applyAlignment="1">
      <alignment horizontal="right"/>
    </xf>
    <xf numFmtId="1" fontId="18" fillId="2" borderId="0" xfId="0" applyNumberFormat="1" applyFont="1" applyFill="1"/>
    <xf numFmtId="168" fontId="18" fillId="2" borderId="0" xfId="1" applyNumberFormat="1" applyFont="1" applyFill="1" applyAlignment="1">
      <alignment horizontal="center"/>
    </xf>
    <xf numFmtId="3" fontId="21" fillId="2" borderId="0" xfId="0" applyNumberFormat="1" applyFont="1" applyFill="1"/>
    <xf numFmtId="9" fontId="21" fillId="0" borderId="0" xfId="2" applyFont="1"/>
    <xf numFmtId="166" fontId="18" fillId="2" borderId="0" xfId="1" applyFont="1" applyFill="1" applyAlignment="1">
      <alignment horizontal="center"/>
    </xf>
    <xf numFmtId="0" fontId="18" fillId="2" borderId="0" xfId="0" applyFont="1" applyFill="1" applyAlignment="1">
      <alignment horizontal="right"/>
    </xf>
    <xf numFmtId="166" fontId="18" fillId="2" borderId="0" xfId="0" applyNumberFormat="1" applyFont="1" applyFill="1"/>
    <xf numFmtId="3" fontId="18" fillId="2" borderId="0" xfId="0" applyNumberFormat="1" applyFont="1" applyFill="1"/>
    <xf numFmtId="166" fontId="18" fillId="0" borderId="0" xfId="1" applyFont="1" applyFill="1"/>
    <xf numFmtId="0" fontId="22" fillId="8" borderId="0" xfId="0" applyFont="1" applyFill="1"/>
    <xf numFmtId="166" fontId="18" fillId="8" borderId="0" xfId="1" applyFont="1" applyFill="1" applyAlignment="1">
      <alignment horizontal="right" vertical="center"/>
    </xf>
    <xf numFmtId="166" fontId="18" fillId="8" borderId="0" xfId="1" applyFont="1" applyFill="1" applyAlignment="1">
      <alignment horizontal="center" vertical="center"/>
    </xf>
    <xf numFmtId="9" fontId="21" fillId="8" borderId="0" xfId="2" applyFont="1" applyFill="1" applyAlignment="1">
      <alignment horizontal="right"/>
    </xf>
    <xf numFmtId="0" fontId="18" fillId="8" borderId="0" xfId="0" applyFont="1" applyFill="1"/>
    <xf numFmtId="2" fontId="23" fillId="8" borderId="0" xfId="0" applyNumberFormat="1" applyFont="1" applyFill="1" applyAlignment="1">
      <alignment horizontal="right" vertical="top"/>
    </xf>
    <xf numFmtId="43" fontId="24" fillId="8" borderId="0" xfId="0" applyNumberFormat="1" applyFont="1" applyFill="1" applyAlignment="1">
      <alignment horizontal="center" vertical="top"/>
    </xf>
    <xf numFmtId="9" fontId="21" fillId="8" borderId="0" xfId="2" applyFont="1" applyFill="1"/>
    <xf numFmtId="166" fontId="21" fillId="0" borderId="0" xfId="1" applyFont="1" applyFill="1" applyBorder="1"/>
    <xf numFmtId="169" fontId="18" fillId="0" borderId="0" xfId="3" applyNumberFormat="1" applyFont="1">
      <alignment horizontal="left" vertical="center" indent="1"/>
    </xf>
    <xf numFmtId="166" fontId="18" fillId="0" borderId="0" xfId="1" applyFont="1" applyFill="1" applyBorder="1" applyAlignment="1">
      <alignment horizontal="center" vertical="center" wrapText="1"/>
    </xf>
    <xf numFmtId="2" fontId="18" fillId="8" borderId="0" xfId="0" applyNumberFormat="1" applyFont="1" applyFill="1" applyAlignment="1">
      <alignment horizontal="right"/>
    </xf>
    <xf numFmtId="2" fontId="18" fillId="8" borderId="0" xfId="0" applyNumberFormat="1" applyFont="1" applyFill="1" applyAlignment="1">
      <alignment horizontal="right" vertical="top"/>
    </xf>
    <xf numFmtId="0" fontId="22" fillId="2" borderId="0" xfId="0" applyFont="1" applyFill="1"/>
    <xf numFmtId="168" fontId="18" fillId="2" borderId="0" xfId="1" applyNumberFormat="1" applyFont="1" applyFill="1" applyAlignment="1">
      <alignment horizontal="right" vertical="center"/>
    </xf>
    <xf numFmtId="168" fontId="18" fillId="2" borderId="0" xfId="1" applyNumberFormat="1" applyFont="1" applyFill="1" applyAlignment="1">
      <alignment horizontal="center" vertical="center"/>
    </xf>
    <xf numFmtId="2" fontId="18" fillId="0" borderId="0" xfId="1" applyNumberFormat="1" applyFont="1" applyAlignment="1">
      <alignment horizontal="right"/>
    </xf>
    <xf numFmtId="43" fontId="24" fillId="2" borderId="0" xfId="0" applyNumberFormat="1" applyFont="1" applyFill="1" applyAlignment="1">
      <alignment horizontal="center" vertical="top"/>
    </xf>
    <xf numFmtId="168" fontId="21" fillId="2" borderId="4" xfId="1" applyNumberFormat="1" applyFont="1" applyFill="1" applyBorder="1" applyAlignment="1"/>
    <xf numFmtId="168" fontId="21" fillId="2" borderId="4" xfId="1" applyNumberFormat="1" applyFont="1" applyFill="1" applyBorder="1" applyAlignment="1">
      <alignment horizontal="center"/>
    </xf>
    <xf numFmtId="9" fontId="21" fillId="2" borderId="4" xfId="2" applyFont="1" applyFill="1" applyBorder="1" applyAlignment="1">
      <alignment horizontal="right"/>
    </xf>
    <xf numFmtId="170" fontId="21" fillId="2" borderId="4" xfId="0" applyNumberFormat="1" applyFont="1" applyFill="1" applyBorder="1" applyAlignment="1">
      <alignment horizontal="center" vertical="top"/>
    </xf>
    <xf numFmtId="170" fontId="21" fillId="0" borderId="0" xfId="0" applyNumberFormat="1" applyFont="1" applyAlignment="1">
      <alignment horizontal="center" vertical="top"/>
    </xf>
    <xf numFmtId="9" fontId="21" fillId="0" borderId="4" xfId="2" applyFont="1" applyBorder="1"/>
    <xf numFmtId="164" fontId="18" fillId="2" borderId="0" xfId="0" applyNumberFormat="1" applyFont="1" applyFill="1"/>
    <xf numFmtId="43" fontId="18" fillId="2" borderId="0" xfId="0" applyNumberFormat="1" applyFont="1" applyFill="1"/>
    <xf numFmtId="166" fontId="18" fillId="0" borderId="0" xfId="1" applyFont="1" applyFill="1" applyBorder="1"/>
    <xf numFmtId="166" fontId="18" fillId="0" borderId="0" xfId="1" applyFont="1"/>
    <xf numFmtId="43" fontId="21" fillId="2" borderId="0" xfId="0" applyNumberFormat="1" applyFont="1" applyFill="1"/>
    <xf numFmtId="170" fontId="18" fillId="2" borderId="0" xfId="0" applyNumberFormat="1" applyFont="1" applyFill="1"/>
    <xf numFmtId="9" fontId="21" fillId="2" borderId="0" xfId="2" applyFont="1" applyFill="1" applyBorder="1" applyAlignment="1">
      <alignment horizontal="center"/>
    </xf>
    <xf numFmtId="1" fontId="18" fillId="0" borderId="0" xfId="0" applyNumberFormat="1" applyFont="1"/>
    <xf numFmtId="171" fontId="18" fillId="0" borderId="0" xfId="0" applyNumberFormat="1" applyFont="1" applyAlignment="1">
      <alignment horizontal="right"/>
    </xf>
    <xf numFmtId="172" fontId="18" fillId="0" borderId="0" xfId="0" applyNumberFormat="1" applyFont="1" applyAlignment="1">
      <alignment horizontal="right" indent="1"/>
    </xf>
    <xf numFmtId="9" fontId="18" fillId="0" borderId="0" xfId="2" applyFont="1"/>
    <xf numFmtId="172" fontId="18" fillId="2" borderId="0" xfId="0" applyNumberFormat="1" applyFont="1" applyFill="1"/>
    <xf numFmtId="171" fontId="18" fillId="2" borderId="0" xfId="0" applyNumberFormat="1" applyFont="1" applyFill="1" applyAlignment="1">
      <alignment horizontal="right"/>
    </xf>
    <xf numFmtId="172" fontId="21" fillId="2" borderId="0" xfId="0" applyNumberFormat="1" applyFont="1" applyFill="1"/>
    <xf numFmtId="172" fontId="18" fillId="2" borderId="0" xfId="0" applyNumberFormat="1" applyFont="1" applyFill="1" applyAlignment="1">
      <alignment horizontal="right" indent="1"/>
    </xf>
    <xf numFmtId="171" fontId="18" fillId="2" borderId="0" xfId="0" applyNumberFormat="1" applyFont="1" applyFill="1" applyAlignment="1">
      <alignment horizontal="right" indent="1"/>
    </xf>
    <xf numFmtId="171" fontId="21" fillId="2" borderId="0" xfId="0" applyNumberFormat="1" applyFont="1" applyFill="1"/>
    <xf numFmtId="2" fontId="18" fillId="2" borderId="0" xfId="2" applyNumberFormat="1" applyFont="1" applyFill="1"/>
    <xf numFmtId="3" fontId="18" fillId="0" borderId="0" xfId="1" applyNumberFormat="1" applyFont="1" applyFill="1"/>
    <xf numFmtId="2" fontId="18" fillId="0" borderId="0" xfId="0" applyNumberFormat="1" applyFont="1"/>
    <xf numFmtId="0" fontId="20" fillId="4" borderId="0" xfId="0" applyFont="1" applyFill="1"/>
    <xf numFmtId="168" fontId="18" fillId="4" borderId="0" xfId="1" applyNumberFormat="1" applyFont="1" applyFill="1"/>
    <xf numFmtId="9" fontId="18" fillId="4" borderId="0" xfId="2" applyFont="1" applyFill="1"/>
    <xf numFmtId="168" fontId="18" fillId="0" borderId="0" xfId="1" applyNumberFormat="1" applyFont="1" applyFill="1"/>
    <xf numFmtId="3" fontId="18" fillId="4" borderId="0" xfId="1" applyNumberFormat="1" applyFont="1" applyFill="1"/>
    <xf numFmtId="37" fontId="18" fillId="4" borderId="0" xfId="1" applyNumberFormat="1" applyFont="1" applyFill="1" applyAlignment="1">
      <alignment horizontal="right"/>
    </xf>
    <xf numFmtId="37" fontId="18" fillId="4" borderId="0" xfId="1" applyNumberFormat="1" applyFont="1" applyFill="1"/>
    <xf numFmtId="37" fontId="21" fillId="4" borderId="0" xfId="1" applyNumberFormat="1" applyFont="1" applyFill="1"/>
    <xf numFmtId="9" fontId="21" fillId="4" borderId="0" xfId="2" applyFont="1" applyFill="1"/>
    <xf numFmtId="37" fontId="21" fillId="0" borderId="0" xfId="1" applyNumberFormat="1" applyFont="1" applyFill="1"/>
    <xf numFmtId="43" fontId="18" fillId="0" borderId="0" xfId="0" applyNumberFormat="1" applyFont="1"/>
    <xf numFmtId="3" fontId="18" fillId="2" borderId="0" xfId="1" applyNumberFormat="1" applyFont="1" applyFill="1" applyAlignment="1">
      <alignment horizontal="right"/>
    </xf>
    <xf numFmtId="3" fontId="18" fillId="2" borderId="0" xfId="1" applyNumberFormat="1" applyFont="1" applyFill="1"/>
    <xf numFmtId="3" fontId="17" fillId="2" borderId="5" xfId="0" applyNumberFormat="1" applyFont="1" applyFill="1" applyBorder="1"/>
    <xf numFmtId="37" fontId="17" fillId="2" borderId="5" xfId="1" applyNumberFormat="1" applyFont="1" applyFill="1" applyBorder="1" applyAlignment="1">
      <alignment horizontal="right"/>
    </xf>
    <xf numFmtId="37" fontId="17" fillId="2" borderId="5" xfId="1" applyNumberFormat="1" applyFont="1" applyFill="1" applyBorder="1"/>
    <xf numFmtId="9" fontId="17" fillId="2" borderId="5" xfId="2" applyFont="1" applyFill="1" applyBorder="1"/>
    <xf numFmtId="3" fontId="17" fillId="0" borderId="0" xfId="0" applyNumberFormat="1" applyFont="1"/>
    <xf numFmtId="3" fontId="18" fillId="0" borderId="0" xfId="0" applyNumberFormat="1" applyFont="1"/>
    <xf numFmtId="37" fontId="18" fillId="0" borderId="0" xfId="0" applyNumberFormat="1" applyFont="1"/>
    <xf numFmtId="173" fontId="18" fillId="0" borderId="0" xfId="0" applyNumberFormat="1" applyFont="1"/>
    <xf numFmtId="0" fontId="26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13" fillId="2" borderId="0" xfId="0" applyFont="1" applyFill="1"/>
    <xf numFmtId="0" fontId="28" fillId="7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28" fillId="7" borderId="0" xfId="0" applyFont="1" applyFill="1" applyAlignment="1">
      <alignment horizontal="center"/>
    </xf>
    <xf numFmtId="0" fontId="29" fillId="2" borderId="3" xfId="0" applyFont="1" applyFill="1" applyBorder="1"/>
    <xf numFmtId="0" fontId="8" fillId="2" borderId="3" xfId="0" applyFont="1" applyFill="1" applyBorder="1" applyAlignment="1">
      <alignment horizontal="left" indent="4"/>
    </xf>
    <xf numFmtId="0" fontId="29" fillId="0" borderId="0" xfId="0" applyFont="1" applyAlignment="1">
      <alignment horizontal="center"/>
    </xf>
    <xf numFmtId="0" fontId="29" fillId="2" borderId="3" xfId="0" applyFont="1" applyFill="1" applyBorder="1" applyAlignment="1">
      <alignment horizontal="right"/>
    </xf>
    <xf numFmtId="0" fontId="29" fillId="2" borderId="3" xfId="0" applyFont="1" applyFill="1" applyBorder="1" applyAlignment="1">
      <alignment horizontal="right" wrapText="1"/>
    </xf>
    <xf numFmtId="0" fontId="30" fillId="4" borderId="0" xfId="0" applyFont="1" applyFill="1"/>
    <xf numFmtId="0" fontId="13" fillId="4" borderId="0" xfId="0" applyFont="1" applyFill="1"/>
    <xf numFmtId="0" fontId="13" fillId="0" borderId="0" xfId="0" applyFont="1"/>
    <xf numFmtId="168" fontId="12" fillId="4" borderId="0" xfId="1" applyNumberFormat="1" applyFont="1" applyFill="1"/>
    <xf numFmtId="9" fontId="12" fillId="4" borderId="0" xfId="2" applyFont="1" applyFill="1"/>
    <xf numFmtId="1" fontId="12" fillId="0" borderId="0" xfId="0" applyNumberFormat="1" applyFont="1"/>
    <xf numFmtId="1" fontId="13" fillId="4" borderId="0" xfId="0" applyNumberFormat="1" applyFont="1" applyFill="1"/>
    <xf numFmtId="3" fontId="12" fillId="4" borderId="0" xfId="0" applyNumberFormat="1" applyFont="1" applyFill="1"/>
    <xf numFmtId="9" fontId="13" fillId="4" borderId="0" xfId="2" applyFont="1" applyFill="1"/>
    <xf numFmtId="43" fontId="6" fillId="4" borderId="0" xfId="0" applyNumberFormat="1" applyFont="1" applyFill="1"/>
    <xf numFmtId="43" fontId="13" fillId="0" borderId="0" xfId="0" applyNumberFormat="1" applyFont="1"/>
    <xf numFmtId="43" fontId="13" fillId="4" borderId="0" xfId="0" applyNumberFormat="1" applyFont="1" applyFill="1"/>
    <xf numFmtId="170" fontId="12" fillId="4" borderId="0" xfId="0" applyNumberFormat="1" applyFont="1" applyFill="1"/>
    <xf numFmtId="9" fontId="6" fillId="4" borderId="0" xfId="2" applyFont="1" applyFill="1"/>
    <xf numFmtId="43" fontId="13" fillId="2" borderId="0" xfId="0" applyNumberFormat="1" applyFont="1" applyFill="1"/>
    <xf numFmtId="0" fontId="31" fillId="4" borderId="0" xfId="0" applyFont="1" applyFill="1"/>
    <xf numFmtId="43" fontId="5" fillId="0" borderId="0" xfId="0" applyNumberFormat="1" applyFont="1"/>
    <xf numFmtId="9" fontId="6" fillId="0" borderId="0" xfId="2" applyFont="1"/>
    <xf numFmtId="0" fontId="11" fillId="2" borderId="0" xfId="0" applyFont="1" applyFill="1"/>
    <xf numFmtId="37" fontId="13" fillId="2" borderId="0" xfId="0" applyNumberFormat="1" applyFont="1" applyFill="1"/>
    <xf numFmtId="39" fontId="13" fillId="2" borderId="0" xfId="0" applyNumberFormat="1" applyFont="1" applyFill="1"/>
    <xf numFmtId="0" fontId="29" fillId="2" borderId="5" xfId="0" applyFont="1" applyFill="1" applyBorder="1"/>
    <xf numFmtId="39" fontId="29" fillId="2" borderId="5" xfId="1" applyNumberFormat="1" applyFont="1" applyFill="1" applyBorder="1"/>
    <xf numFmtId="9" fontId="29" fillId="2" borderId="5" xfId="2" applyFont="1" applyFill="1" applyBorder="1"/>
    <xf numFmtId="174" fontId="13" fillId="2" borderId="0" xfId="0" applyNumberFormat="1" applyFont="1" applyFill="1"/>
    <xf numFmtId="41" fontId="13" fillId="2" borderId="0" xfId="0" applyNumberFormat="1" applyFont="1" applyFill="1"/>
    <xf numFmtId="4" fontId="13" fillId="2" borderId="0" xfId="0" applyNumberFormat="1" applyFont="1" applyFill="1"/>
    <xf numFmtId="166" fontId="13" fillId="2" borderId="0" xfId="1" applyFont="1" applyFill="1"/>
    <xf numFmtId="166" fontId="13" fillId="2" borderId="0" xfId="0" applyNumberFormat="1" applyFont="1" applyFill="1"/>
    <xf numFmtId="164" fontId="13" fillId="2" borderId="0" xfId="0" applyNumberFormat="1" applyFont="1" applyFill="1"/>
    <xf numFmtId="0" fontId="26" fillId="2" borderId="0" xfId="0" applyFont="1" applyFill="1"/>
    <xf numFmtId="0" fontId="32" fillId="2" borderId="0" xfId="0" applyFont="1" applyFill="1" applyAlignment="1">
      <alignment horizontal="center"/>
    </xf>
    <xf numFmtId="0" fontId="16" fillId="2" borderId="0" xfId="0" applyFont="1" applyFill="1"/>
    <xf numFmtId="0" fontId="13" fillId="2" borderId="0" xfId="0" applyFont="1" applyFill="1" applyAlignment="1">
      <alignment wrapText="1"/>
    </xf>
    <xf numFmtId="0" fontId="29" fillId="2" borderId="0" xfId="0" applyFont="1" applyFill="1"/>
    <xf numFmtId="0" fontId="8" fillId="2" borderId="0" xfId="0" applyFont="1" applyFill="1" applyAlignment="1">
      <alignment horizontal="left" indent="4"/>
    </xf>
    <xf numFmtId="0" fontId="29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right"/>
    </xf>
    <xf numFmtId="0" fontId="29" fillId="2" borderId="0" xfId="0" applyFont="1" applyFill="1" applyAlignment="1">
      <alignment horizontal="right"/>
    </xf>
    <xf numFmtId="0" fontId="29" fillId="2" borderId="3" xfId="0" applyFont="1" applyFill="1" applyBorder="1" applyAlignment="1">
      <alignment horizontal="center" wrapText="1"/>
    </xf>
    <xf numFmtId="43" fontId="29" fillId="2" borderId="0" xfId="0" applyNumberFormat="1" applyFont="1" applyFill="1" applyAlignment="1">
      <alignment horizontal="right"/>
    </xf>
    <xf numFmtId="0" fontId="29" fillId="2" borderId="0" xfId="0" applyFont="1" applyFill="1" applyAlignment="1">
      <alignment horizontal="center" wrapText="1"/>
    </xf>
    <xf numFmtId="10" fontId="6" fillId="2" borderId="0" xfId="1" applyNumberFormat="1" applyFont="1" applyFill="1" applyBorder="1" applyAlignment="1">
      <alignment horizontal="right"/>
    </xf>
    <xf numFmtId="43" fontId="6" fillId="2" borderId="0" xfId="0" applyNumberFormat="1" applyFont="1" applyFill="1" applyAlignment="1">
      <alignment horizontal="right"/>
    </xf>
    <xf numFmtId="43" fontId="5" fillId="2" borderId="0" xfId="0" applyNumberFormat="1" applyFont="1" applyFill="1" applyAlignment="1">
      <alignment horizontal="right"/>
    </xf>
    <xf numFmtId="43" fontId="6" fillId="0" borderId="0" xfId="0" applyNumberFormat="1" applyFont="1" applyAlignment="1">
      <alignment horizontal="right"/>
    </xf>
    <xf numFmtId="9" fontId="6" fillId="2" borderId="0" xfId="2" applyFont="1" applyFill="1" applyAlignment="1">
      <alignment horizontal="right"/>
    </xf>
    <xf numFmtId="10" fontId="6" fillId="0" borderId="0" xfId="1" applyNumberFormat="1" applyFont="1" applyFill="1" applyBorder="1" applyAlignment="1">
      <alignment horizontal="right"/>
    </xf>
    <xf numFmtId="0" fontId="13" fillId="0" borderId="0" xfId="0" applyFont="1" applyAlignment="1">
      <alignment wrapText="1"/>
    </xf>
    <xf numFmtId="43" fontId="5" fillId="0" borderId="0" xfId="0" applyNumberFormat="1" applyFont="1" applyAlignment="1">
      <alignment horizontal="right"/>
    </xf>
    <xf numFmtId="9" fontId="6" fillId="0" borderId="0" xfId="2" applyFont="1" applyFill="1" applyAlignment="1">
      <alignment horizontal="right"/>
    </xf>
    <xf numFmtId="43" fontId="13" fillId="0" borderId="0" xfId="0" applyNumberFormat="1" applyFont="1" applyAlignment="1">
      <alignment horizontal="right"/>
    </xf>
    <xf numFmtId="10" fontId="6" fillId="2" borderId="0" xfId="1" applyNumberFormat="1" applyFont="1" applyFill="1" applyAlignment="1">
      <alignment horizontal="right"/>
    </xf>
    <xf numFmtId="166" fontId="13" fillId="2" borderId="0" xfId="1" applyFont="1" applyFill="1" applyBorder="1"/>
    <xf numFmtId="166" fontId="12" fillId="2" borderId="5" xfId="1" applyFont="1" applyFill="1" applyBorder="1"/>
    <xf numFmtId="39" fontId="12" fillId="2" borderId="5" xfId="1" applyNumberFormat="1" applyFont="1" applyFill="1" applyBorder="1"/>
    <xf numFmtId="9" fontId="12" fillId="2" borderId="5" xfId="2" applyFont="1" applyFill="1" applyBorder="1"/>
    <xf numFmtId="39" fontId="12" fillId="2" borderId="5" xfId="1" applyNumberFormat="1" applyFont="1" applyFill="1" applyBorder="1" applyAlignment="1">
      <alignment horizontal="right"/>
    </xf>
    <xf numFmtId="9" fontId="12" fillId="2" borderId="5" xfId="2" applyFont="1" applyFill="1" applyBorder="1" applyAlignment="1">
      <alignment horizontal="right"/>
    </xf>
    <xf numFmtId="166" fontId="5" fillId="2" borderId="0" xfId="1" applyFont="1" applyFill="1" applyAlignment="1">
      <alignment horizontal="right"/>
    </xf>
    <xf numFmtId="166" fontId="6" fillId="2" borderId="0" xfId="1" applyFont="1" applyFill="1" applyAlignment="1">
      <alignment horizontal="right"/>
    </xf>
    <xf numFmtId="9" fontId="13" fillId="2" borderId="0" xfId="2" applyFont="1" applyFill="1" applyAlignment="1">
      <alignment horizontal="left"/>
    </xf>
    <xf numFmtId="168" fontId="6" fillId="2" borderId="0" xfId="1" applyNumberFormat="1" applyFont="1" applyFill="1"/>
    <xf numFmtId="168" fontId="13" fillId="2" borderId="0" xfId="1" applyNumberFormat="1" applyFont="1" applyFill="1"/>
    <xf numFmtId="0" fontId="34" fillId="0" borderId="0" xfId="4" applyFont="1" applyAlignment="1">
      <alignment horizontal="center"/>
    </xf>
    <xf numFmtId="0" fontId="35" fillId="0" borderId="0" xfId="0" applyFont="1" applyAlignment="1">
      <alignment horizontal="center"/>
    </xf>
    <xf numFmtId="0" fontId="34" fillId="0" borderId="0" xfId="4" applyFont="1"/>
    <xf numFmtId="0" fontId="36" fillId="3" borderId="6" xfId="4" applyFont="1" applyFill="1" applyBorder="1" applyAlignment="1">
      <alignment horizontal="center"/>
    </xf>
    <xf numFmtId="0" fontId="36" fillId="3" borderId="7" xfId="0" applyFont="1" applyFill="1" applyBorder="1" applyAlignment="1">
      <alignment horizontal="left"/>
    </xf>
    <xf numFmtId="0" fontId="36" fillId="3" borderId="8" xfId="0" applyFont="1" applyFill="1" applyBorder="1" applyAlignment="1">
      <alignment horizontal="center"/>
    </xf>
    <xf numFmtId="166" fontId="36" fillId="3" borderId="9" xfId="1" applyFont="1" applyFill="1" applyBorder="1" applyAlignment="1">
      <alignment horizontal="center"/>
    </xf>
    <xf numFmtId="0" fontId="36" fillId="3" borderId="8" xfId="0" applyFont="1" applyFill="1" applyBorder="1"/>
    <xf numFmtId="0" fontId="36" fillId="3" borderId="10" xfId="0" applyFont="1" applyFill="1" applyBorder="1" applyAlignment="1">
      <alignment horizontal="center"/>
    </xf>
    <xf numFmtId="0" fontId="36" fillId="3" borderId="11" xfId="0" applyFont="1" applyFill="1" applyBorder="1" applyAlignment="1">
      <alignment horizontal="center"/>
    </xf>
    <xf numFmtId="0" fontId="37" fillId="0" borderId="0" xfId="4" applyFont="1"/>
    <xf numFmtId="0" fontId="34" fillId="0" borderId="12" xfId="4" applyFont="1" applyBorder="1" applyAlignment="1">
      <alignment horizontal="center"/>
    </xf>
    <xf numFmtId="0" fontId="38" fillId="2" borderId="0" xfId="4" applyFont="1" applyFill="1" applyAlignment="1">
      <alignment horizontal="left"/>
    </xf>
    <xf numFmtId="0" fontId="39" fillId="2" borderId="13" xfId="4" applyFont="1" applyFill="1" applyBorder="1"/>
    <xf numFmtId="166" fontId="37" fillId="2" borderId="14" xfId="1" applyFont="1" applyFill="1" applyBorder="1" applyAlignment="1">
      <alignment horizontal="center"/>
    </xf>
    <xf numFmtId="0" fontId="39" fillId="2" borderId="15" xfId="4" applyFont="1" applyFill="1" applyBorder="1"/>
    <xf numFmtId="0" fontId="37" fillId="2" borderId="16" xfId="4" applyFont="1" applyFill="1" applyBorder="1" applyAlignment="1">
      <alignment horizontal="center"/>
    </xf>
    <xf numFmtId="0" fontId="37" fillId="2" borderId="17" xfId="4" applyFont="1" applyFill="1" applyBorder="1" applyAlignment="1">
      <alignment horizontal="center"/>
    </xf>
    <xf numFmtId="0" fontId="40" fillId="0" borderId="18" xfId="4" applyFont="1" applyBorder="1" applyAlignment="1">
      <alignment horizontal="center"/>
    </xf>
    <xf numFmtId="0" fontId="41" fillId="9" borderId="4" xfId="4" applyFont="1" applyFill="1" applyBorder="1" applyAlignment="1">
      <alignment horizontal="left"/>
    </xf>
    <xf numFmtId="0" fontId="37" fillId="9" borderId="19" xfId="4" applyFont="1" applyFill="1" applyBorder="1"/>
    <xf numFmtId="166" fontId="37" fillId="9" borderId="20" xfId="1" applyFont="1" applyFill="1" applyBorder="1" applyAlignment="1"/>
    <xf numFmtId="0" fontId="37" fillId="9" borderId="21" xfId="4" applyFont="1" applyFill="1" applyBorder="1"/>
    <xf numFmtId="0" fontId="37" fillId="9" borderId="22" xfId="4" applyFont="1" applyFill="1" applyBorder="1" applyAlignment="1">
      <alignment horizontal="center"/>
    </xf>
    <xf numFmtId="0" fontId="37" fillId="9" borderId="23" xfId="4" applyFont="1" applyFill="1" applyBorder="1" applyAlignment="1">
      <alignment horizontal="center"/>
    </xf>
    <xf numFmtId="0" fontId="40" fillId="0" borderId="0" xfId="4" applyFont="1"/>
    <xf numFmtId="0" fontId="34" fillId="0" borderId="18" xfId="4" applyFont="1" applyBorder="1" applyAlignment="1">
      <alignment horizontal="center"/>
    </xf>
    <xf numFmtId="0" fontId="42" fillId="0" borderId="20" xfId="0" applyFont="1" applyBorder="1" applyAlignment="1">
      <alignment vertical="center"/>
    </xf>
    <xf numFmtId="0" fontId="38" fillId="0" borderId="20" xfId="0" applyFont="1" applyBorder="1"/>
    <xf numFmtId="166" fontId="43" fillId="2" borderId="20" xfId="1" applyFont="1" applyFill="1" applyBorder="1" applyAlignment="1">
      <alignment horizontal="right"/>
    </xf>
    <xf numFmtId="0" fontId="43" fillId="2" borderId="19" xfId="4" applyFont="1" applyFill="1" applyBorder="1"/>
    <xf numFmtId="166" fontId="43" fillId="2" borderId="24" xfId="1" applyFont="1" applyFill="1" applyBorder="1"/>
    <xf numFmtId="166" fontId="44" fillId="2" borderId="25" xfId="1" applyFont="1" applyFill="1" applyBorder="1" applyAlignment="1"/>
    <xf numFmtId="0" fontId="38" fillId="0" borderId="26" xfId="0" applyFont="1" applyBorder="1"/>
    <xf numFmtId="0" fontId="43" fillId="2" borderId="19" xfId="0" applyFont="1" applyFill="1" applyBorder="1"/>
    <xf numFmtId="166" fontId="43" fillId="2" borderId="24" xfId="1" applyFont="1" applyFill="1" applyBorder="1" applyAlignment="1">
      <alignment horizontal="center"/>
    </xf>
    <xf numFmtId="2" fontId="45" fillId="0" borderId="14" xfId="5" applyNumberFormat="1" applyFont="1" applyBorder="1" applyAlignment="1">
      <alignment horizontal="left" vertical="center"/>
    </xf>
    <xf numFmtId="166" fontId="34" fillId="0" borderId="20" xfId="1" applyFont="1" applyFill="1" applyBorder="1" applyAlignment="1">
      <alignment horizontal="right"/>
    </xf>
    <xf numFmtId="0" fontId="34" fillId="0" borderId="19" xfId="0" applyFont="1" applyBorder="1"/>
    <xf numFmtId="166" fontId="40" fillId="0" borderId="25" xfId="1" applyFont="1" applyFill="1" applyBorder="1" applyAlignment="1"/>
    <xf numFmtId="2" fontId="46" fillId="0" borderId="20" xfId="5" applyNumberFormat="1" applyFont="1" applyBorder="1" applyAlignment="1">
      <alignment vertical="center" wrapText="1"/>
    </xf>
    <xf numFmtId="166" fontId="43" fillId="0" borderId="24" xfId="1" applyFont="1" applyFill="1" applyBorder="1"/>
    <xf numFmtId="0" fontId="34" fillId="0" borderId="20" xfId="0" applyFont="1" applyBorder="1"/>
    <xf numFmtId="0" fontId="47" fillId="0" borderId="19" xfId="0" applyFont="1" applyBorder="1"/>
    <xf numFmtId="0" fontId="34" fillId="0" borderId="26" xfId="0" applyFont="1" applyBorder="1"/>
    <xf numFmtId="0" fontId="47" fillId="0" borderId="21" xfId="0" applyFont="1" applyBorder="1"/>
    <xf numFmtId="0" fontId="34" fillId="0" borderId="21" xfId="0" applyFont="1" applyBorder="1"/>
    <xf numFmtId="166" fontId="43" fillId="0" borderId="22" xfId="1" applyFont="1" applyFill="1" applyBorder="1"/>
    <xf numFmtId="166" fontId="40" fillId="0" borderId="27" xfId="1" applyFont="1" applyFill="1" applyBorder="1" applyAlignment="1"/>
    <xf numFmtId="0" fontId="47" fillId="0" borderId="20" xfId="0" applyFont="1" applyBorder="1"/>
    <xf numFmtId="0" fontId="42" fillId="0" borderId="26" xfId="0" applyFont="1" applyBorder="1" applyAlignment="1">
      <alignment vertical="center"/>
    </xf>
    <xf numFmtId="166" fontId="34" fillId="0" borderId="26" xfId="1" applyFont="1" applyFill="1" applyBorder="1" applyAlignment="1">
      <alignment horizontal="right"/>
    </xf>
    <xf numFmtId="166" fontId="43" fillId="2" borderId="22" xfId="1" applyFont="1" applyFill="1" applyBorder="1"/>
    <xf numFmtId="0" fontId="42" fillId="10" borderId="28" xfId="0" applyFont="1" applyFill="1" applyBorder="1" applyAlignment="1">
      <alignment vertical="center"/>
    </xf>
    <xf numFmtId="0" fontId="38" fillId="10" borderId="28" xfId="0" applyFont="1" applyFill="1" applyBorder="1"/>
    <xf numFmtId="166" fontId="34" fillId="10" borderId="28" xfId="1" applyFont="1" applyFill="1" applyBorder="1" applyAlignment="1">
      <alignment horizontal="right"/>
    </xf>
    <xf numFmtId="0" fontId="42" fillId="0" borderId="14" xfId="0" applyFont="1" applyBorder="1" applyAlignment="1">
      <alignment vertical="center"/>
    </xf>
    <xf numFmtId="0" fontId="38" fillId="0" borderId="14" xfId="0" applyFont="1" applyBorder="1"/>
    <xf numFmtId="166" fontId="34" fillId="0" borderId="14" xfId="1" applyFont="1" applyFill="1" applyBorder="1" applyAlignment="1">
      <alignment horizontal="right"/>
    </xf>
    <xf numFmtId="0" fontId="34" fillId="0" borderId="13" xfId="0" applyFont="1" applyBorder="1"/>
    <xf numFmtId="166" fontId="43" fillId="2" borderId="29" xfId="1" applyFont="1" applyFill="1" applyBorder="1"/>
    <xf numFmtId="166" fontId="40" fillId="0" borderId="23" xfId="1" applyFont="1" applyFill="1" applyBorder="1" applyAlignment="1"/>
    <xf numFmtId="0" fontId="48" fillId="9" borderId="20" xfId="0" applyFont="1" applyFill="1" applyBorder="1" applyAlignment="1">
      <alignment vertical="center"/>
    </xf>
    <xf numFmtId="0" fontId="41" fillId="9" borderId="20" xfId="0" applyFont="1" applyFill="1" applyBorder="1"/>
    <xf numFmtId="166" fontId="40" fillId="9" borderId="20" xfId="1" applyFont="1" applyFill="1" applyBorder="1" applyAlignment="1">
      <alignment horizontal="right"/>
    </xf>
    <xf numFmtId="0" fontId="40" fillId="9" borderId="19" xfId="0" applyFont="1" applyFill="1" applyBorder="1"/>
    <xf numFmtId="166" fontId="44" fillId="9" borderId="24" xfId="1" applyFont="1" applyFill="1" applyBorder="1"/>
    <xf numFmtId="166" fontId="40" fillId="9" borderId="25" xfId="1" applyFont="1" applyFill="1" applyBorder="1" applyAlignment="1"/>
    <xf numFmtId="0" fontId="49" fillId="0" borderId="20" xfId="0" applyFont="1" applyBorder="1" applyAlignment="1">
      <alignment vertical="center"/>
    </xf>
    <xf numFmtId="166" fontId="43" fillId="2" borderId="24" xfId="1" applyFont="1" applyFill="1" applyBorder="1" applyAlignment="1">
      <alignment horizontal="center" vertical="center"/>
    </xf>
    <xf numFmtId="166" fontId="34" fillId="2" borderId="20" xfId="1" applyFont="1" applyFill="1" applyBorder="1" applyAlignment="1">
      <alignment horizontal="right"/>
    </xf>
    <xf numFmtId="0" fontId="34" fillId="2" borderId="19" xfId="0" applyFont="1" applyFill="1" applyBorder="1"/>
    <xf numFmtId="166" fontId="34" fillId="2" borderId="24" xfId="1" applyFont="1" applyFill="1" applyBorder="1" applyAlignment="1">
      <alignment horizontal="center" vertical="center"/>
    </xf>
    <xf numFmtId="166" fontId="40" fillId="2" borderId="25" xfId="1" applyFont="1" applyFill="1" applyBorder="1" applyAlignment="1"/>
    <xf numFmtId="166" fontId="34" fillId="2" borderId="14" xfId="1" applyFont="1" applyFill="1" applyBorder="1" applyAlignment="1">
      <alignment horizontal="right"/>
    </xf>
    <xf numFmtId="166" fontId="40" fillId="9" borderId="14" xfId="1" applyFont="1" applyFill="1" applyBorder="1" applyAlignment="1">
      <alignment horizontal="right"/>
    </xf>
    <xf numFmtId="166" fontId="40" fillId="9" borderId="24" xfId="1" applyFont="1" applyFill="1" applyBorder="1" applyAlignment="1">
      <alignment horizontal="center" vertical="center"/>
    </xf>
    <xf numFmtId="0" fontId="43" fillId="0" borderId="18" xfId="4" applyFont="1" applyBorder="1" applyAlignment="1">
      <alignment horizontal="center"/>
    </xf>
    <xf numFmtId="0" fontId="50" fillId="0" borderId="20" xfId="0" applyFont="1" applyBorder="1" applyAlignment="1">
      <alignment vertical="center" wrapText="1"/>
    </xf>
    <xf numFmtId="0" fontId="50" fillId="0" borderId="20" xfId="0" applyFont="1" applyBorder="1"/>
    <xf numFmtId="166" fontId="43" fillId="0" borderId="14" xfId="1" applyFont="1" applyFill="1" applyBorder="1" applyAlignment="1">
      <alignment horizontal="right"/>
    </xf>
    <xf numFmtId="0" fontId="43" fillId="0" borderId="19" xfId="0" applyFont="1" applyBorder="1"/>
    <xf numFmtId="166" fontId="43" fillId="0" borderId="24" xfId="1" applyFont="1" applyFill="1" applyBorder="1" applyAlignment="1">
      <alignment horizontal="center" vertical="center"/>
    </xf>
    <xf numFmtId="166" fontId="44" fillId="0" borderId="25" xfId="1" applyFont="1" applyFill="1" applyBorder="1" applyAlignment="1"/>
    <xf numFmtId="0" fontId="43" fillId="0" borderId="0" xfId="4" applyFont="1"/>
    <xf numFmtId="0" fontId="50" fillId="0" borderId="20" xfId="0" applyFont="1" applyBorder="1" applyAlignment="1">
      <alignment vertical="center"/>
    </xf>
    <xf numFmtId="0" fontId="43" fillId="2" borderId="20" xfId="0" applyFont="1" applyFill="1" applyBorder="1"/>
    <xf numFmtId="0" fontId="48" fillId="0" borderId="20" xfId="0" applyFont="1" applyBorder="1" applyAlignment="1">
      <alignment vertical="center" wrapText="1"/>
    </xf>
    <xf numFmtId="0" fontId="45" fillId="2" borderId="20" xfId="0" applyFont="1" applyFill="1" applyBorder="1"/>
    <xf numFmtId="166" fontId="34" fillId="0" borderId="19" xfId="1" applyFont="1" applyFill="1" applyBorder="1" applyAlignment="1">
      <alignment horizontal="right"/>
    </xf>
    <xf numFmtId="0" fontId="38" fillId="2" borderId="14" xfId="0" applyFont="1" applyFill="1" applyBorder="1"/>
    <xf numFmtId="0" fontId="45" fillId="2" borderId="19" xfId="0" applyFont="1" applyFill="1" applyBorder="1"/>
    <xf numFmtId="166" fontId="43" fillId="2" borderId="19" xfId="1" applyFont="1" applyFill="1" applyBorder="1"/>
    <xf numFmtId="0" fontId="45" fillId="2" borderId="14" xfId="0" applyFont="1" applyFill="1" applyBorder="1"/>
    <xf numFmtId="166" fontId="34" fillId="0" borderId="13" xfId="1" applyFont="1" applyFill="1" applyBorder="1" applyAlignment="1">
      <alignment horizontal="right"/>
    </xf>
    <xf numFmtId="0" fontId="43" fillId="2" borderId="13" xfId="0" applyFont="1" applyFill="1" applyBorder="1"/>
    <xf numFmtId="166" fontId="44" fillId="2" borderId="30" xfId="1" applyFont="1" applyFill="1" applyBorder="1" applyAlignment="1"/>
    <xf numFmtId="0" fontId="38" fillId="0" borderId="31" xfId="0" applyFont="1" applyBorder="1"/>
    <xf numFmtId="0" fontId="45" fillId="2" borderId="21" xfId="0" applyFont="1" applyFill="1" applyBorder="1"/>
    <xf numFmtId="166" fontId="34" fillId="0" borderId="31" xfId="1" applyFont="1" applyFill="1" applyBorder="1" applyAlignment="1">
      <alignment horizontal="right"/>
    </xf>
    <xf numFmtId="0" fontId="43" fillId="2" borderId="31" xfId="0" applyFont="1" applyFill="1" applyBorder="1"/>
    <xf numFmtId="166" fontId="43" fillId="2" borderId="0" xfId="1" applyFont="1" applyFill="1" applyBorder="1"/>
    <xf numFmtId="0" fontId="38" fillId="0" borderId="32" xfId="0" applyFont="1" applyBorder="1"/>
    <xf numFmtId="0" fontId="45" fillId="2" borderId="32" xfId="0" applyFont="1" applyFill="1" applyBorder="1"/>
    <xf numFmtId="166" fontId="34" fillId="0" borderId="33" xfId="1" applyFont="1" applyFill="1" applyBorder="1" applyAlignment="1">
      <alignment horizontal="right"/>
    </xf>
    <xf numFmtId="0" fontId="43" fillId="2" borderId="32" xfId="0" applyFont="1" applyFill="1" applyBorder="1"/>
    <xf numFmtId="166" fontId="43" fillId="2" borderId="34" xfId="1" applyFont="1" applyFill="1" applyBorder="1"/>
    <xf numFmtId="0" fontId="48" fillId="11" borderId="20" xfId="0" applyFont="1" applyFill="1" applyBorder="1" applyAlignment="1">
      <alignment vertical="center" wrapText="1"/>
    </xf>
    <xf numFmtId="0" fontId="51" fillId="11" borderId="20" xfId="0" applyFont="1" applyFill="1" applyBorder="1"/>
    <xf numFmtId="166" fontId="40" fillId="11" borderId="19" xfId="1" applyFont="1" applyFill="1" applyBorder="1" applyAlignment="1">
      <alignment horizontal="right"/>
    </xf>
    <xf numFmtId="0" fontId="44" fillId="11" borderId="19" xfId="0" applyFont="1" applyFill="1" applyBorder="1"/>
    <xf numFmtId="166" fontId="43" fillId="11" borderId="24" xfId="1" applyFont="1" applyFill="1" applyBorder="1"/>
    <xf numFmtId="166" fontId="44" fillId="11" borderId="25" xfId="1" applyFont="1" applyFill="1" applyBorder="1" applyAlignment="1"/>
    <xf numFmtId="2" fontId="52" fillId="0" borderId="20" xfId="5" applyNumberFormat="1" applyFont="1" applyBorder="1" applyAlignment="1">
      <alignment horizontal="left" vertical="center" wrapText="1"/>
    </xf>
    <xf numFmtId="0" fontId="38" fillId="0" borderId="20" xfId="4" applyFont="1" applyBorder="1"/>
    <xf numFmtId="166" fontId="44" fillId="2" borderId="24" xfId="1" applyFont="1" applyFill="1" applyBorder="1"/>
    <xf numFmtId="0" fontId="43" fillId="0" borderId="20" xfId="4" applyFont="1" applyBorder="1"/>
    <xf numFmtId="166" fontId="43" fillId="0" borderId="20" xfId="1" applyFont="1" applyFill="1" applyBorder="1" applyAlignment="1">
      <alignment horizontal="right"/>
    </xf>
    <xf numFmtId="166" fontId="43" fillId="0" borderId="24" xfId="1" applyFont="1" applyFill="1" applyBorder="1" applyAlignment="1">
      <alignment horizontal="center"/>
    </xf>
    <xf numFmtId="0" fontId="34" fillId="0" borderId="20" xfId="4" applyFont="1" applyBorder="1"/>
    <xf numFmtId="0" fontId="50" fillId="0" borderId="20" xfId="4" applyFont="1" applyBorder="1"/>
    <xf numFmtId="0" fontId="43" fillId="0" borderId="19" xfId="4" applyFont="1" applyBorder="1"/>
    <xf numFmtId="166" fontId="34" fillId="0" borderId="24" xfId="1" applyFont="1" applyFill="1" applyBorder="1" applyAlignment="1">
      <alignment horizontal="center"/>
    </xf>
    <xf numFmtId="0" fontId="50" fillId="2" borderId="20" xfId="4" applyFont="1" applyFill="1" applyBorder="1"/>
    <xf numFmtId="0" fontId="43" fillId="2" borderId="20" xfId="4" applyFont="1" applyFill="1" applyBorder="1"/>
    <xf numFmtId="2" fontId="38" fillId="0" borderId="20" xfId="5" applyNumberFormat="1" applyFont="1" applyBorder="1" applyAlignment="1">
      <alignment horizontal="left" vertical="center" wrapText="1"/>
    </xf>
    <xf numFmtId="0" fontId="43" fillId="2" borderId="26" xfId="4" applyFont="1" applyFill="1" applyBorder="1"/>
    <xf numFmtId="166" fontId="43" fillId="2" borderId="26" xfId="1" applyFont="1" applyFill="1" applyBorder="1" applyAlignment="1">
      <alignment horizontal="right"/>
    </xf>
    <xf numFmtId="0" fontId="43" fillId="2" borderId="21" xfId="4" applyFont="1" applyFill="1" applyBorder="1"/>
    <xf numFmtId="2" fontId="38" fillId="0" borderId="26" xfId="5" applyNumberFormat="1" applyFont="1" applyBorder="1" applyAlignment="1">
      <alignment horizontal="left" vertical="center" wrapText="1"/>
    </xf>
    <xf numFmtId="2" fontId="34" fillId="0" borderId="20" xfId="5" applyNumberFormat="1" applyFont="1" applyBorder="1" applyAlignment="1">
      <alignment vertical="center" wrapText="1"/>
    </xf>
    <xf numFmtId="2" fontId="34" fillId="0" borderId="14" xfId="5" applyNumberFormat="1" applyFont="1" applyBorder="1" applyAlignment="1">
      <alignment horizontal="left" vertical="center"/>
    </xf>
    <xf numFmtId="0" fontId="34" fillId="0" borderId="35" xfId="0" applyFont="1" applyBorder="1"/>
    <xf numFmtId="0" fontId="53" fillId="0" borderId="18" xfId="4" applyFont="1" applyBorder="1" applyAlignment="1">
      <alignment horizontal="center"/>
    </xf>
    <xf numFmtId="0" fontId="54" fillId="12" borderId="26" xfId="0" applyFont="1" applyFill="1" applyBorder="1" applyAlignment="1">
      <alignment vertical="center"/>
    </xf>
    <xf numFmtId="0" fontId="53" fillId="2" borderId="26" xfId="4" applyFont="1" applyFill="1" applyBorder="1"/>
    <xf numFmtId="166" fontId="53" fillId="2" borderId="26" xfId="1" applyFont="1" applyFill="1" applyBorder="1" applyAlignment="1">
      <alignment horizontal="right"/>
    </xf>
    <xf numFmtId="0" fontId="53" fillId="2" borderId="21" xfId="4" applyFont="1" applyFill="1" applyBorder="1"/>
    <xf numFmtId="166" fontId="53" fillId="2" borderId="24" xfId="1" applyFont="1" applyFill="1" applyBorder="1"/>
    <xf numFmtId="166" fontId="55" fillId="2" borderId="25" xfId="1" applyFont="1" applyFill="1" applyBorder="1" applyAlignment="1"/>
    <xf numFmtId="0" fontId="53" fillId="0" borderId="0" xfId="4" applyFont="1"/>
    <xf numFmtId="0" fontId="54" fillId="0" borderId="20" xfId="0" applyFont="1" applyBorder="1" applyAlignment="1">
      <alignment vertical="center" wrapText="1"/>
    </xf>
    <xf numFmtId="0" fontId="53" fillId="2" borderId="20" xfId="4" applyFont="1" applyFill="1" applyBorder="1"/>
    <xf numFmtId="166" fontId="53" fillId="2" borderId="19" xfId="1" applyFont="1" applyFill="1" applyBorder="1" applyAlignment="1">
      <alignment horizontal="right"/>
    </xf>
    <xf numFmtId="0" fontId="53" fillId="2" borderId="19" xfId="4" applyFont="1" applyFill="1" applyBorder="1"/>
    <xf numFmtId="166" fontId="55" fillId="2" borderId="25" xfId="1" applyFont="1" applyFill="1" applyBorder="1" applyAlignment="1">
      <alignment horizontal="center"/>
    </xf>
    <xf numFmtId="0" fontId="53" fillId="0" borderId="35" xfId="4" applyFont="1" applyBorder="1"/>
    <xf numFmtId="0" fontId="53" fillId="0" borderId="19" xfId="4" applyFont="1" applyBorder="1"/>
    <xf numFmtId="0" fontId="53" fillId="2" borderId="14" xfId="4" applyFont="1" applyFill="1" applyBorder="1"/>
    <xf numFmtId="166" fontId="53" fillId="2" borderId="14" xfId="1" applyFont="1" applyFill="1" applyBorder="1" applyAlignment="1">
      <alignment horizontal="right"/>
    </xf>
    <xf numFmtId="166" fontId="53" fillId="2" borderId="24" xfId="1" applyFont="1" applyFill="1" applyBorder="1" applyAlignment="1">
      <alignment horizontal="center"/>
    </xf>
    <xf numFmtId="0" fontId="54" fillId="0" borderId="26" xfId="0" applyFont="1" applyBorder="1" applyAlignment="1">
      <alignment vertical="center" wrapText="1"/>
    </xf>
    <xf numFmtId="0" fontId="53" fillId="2" borderId="31" xfId="4" applyFont="1" applyFill="1" applyBorder="1"/>
    <xf numFmtId="166" fontId="53" fillId="2" borderId="31" xfId="1" applyFont="1" applyFill="1" applyBorder="1" applyAlignment="1">
      <alignment horizontal="right"/>
    </xf>
    <xf numFmtId="166" fontId="53" fillId="2" borderId="29" xfId="1" applyFont="1" applyFill="1" applyBorder="1" applyAlignment="1">
      <alignment horizontal="center"/>
    </xf>
    <xf numFmtId="169" fontId="53" fillId="0" borderId="18" xfId="3" applyNumberFormat="1" applyFont="1" applyBorder="1" applyAlignment="1">
      <alignment horizontal="center" vertical="center"/>
    </xf>
    <xf numFmtId="169" fontId="53" fillId="0" borderId="20" xfId="3" applyNumberFormat="1" applyFont="1" applyBorder="1" applyAlignment="1">
      <alignment vertical="center"/>
    </xf>
    <xf numFmtId="169" fontId="53" fillId="0" borderId="19" xfId="3" applyNumberFormat="1" applyFont="1" applyBorder="1">
      <alignment horizontal="left" vertical="center" indent="1"/>
    </xf>
    <xf numFmtId="166" fontId="53" fillId="0" borderId="19" xfId="1" applyFont="1" applyFill="1" applyBorder="1" applyAlignment="1">
      <alignment horizontal="left" vertical="center" indent="1"/>
    </xf>
    <xf numFmtId="166" fontId="53" fillId="2" borderId="16" xfId="1" applyFont="1" applyFill="1" applyBorder="1" applyAlignment="1">
      <alignment horizontal="center"/>
    </xf>
    <xf numFmtId="166" fontId="55" fillId="0" borderId="25" xfId="1" applyFont="1" applyFill="1" applyBorder="1" applyAlignment="1">
      <alignment horizontal="center" vertical="center"/>
    </xf>
    <xf numFmtId="169" fontId="53" fillId="0" borderId="20" xfId="3" applyNumberFormat="1" applyFont="1" applyBorder="1">
      <alignment horizontal="left" vertical="center" indent="1"/>
    </xf>
    <xf numFmtId="169" fontId="53" fillId="0" borderId="36" xfId="3" applyNumberFormat="1" applyFont="1" applyBorder="1" applyAlignment="1">
      <alignment vertical="center"/>
    </xf>
    <xf numFmtId="169" fontId="53" fillId="0" borderId="13" xfId="3" applyNumberFormat="1" applyFont="1" applyBorder="1">
      <alignment horizontal="left" vertical="center" indent="1"/>
    </xf>
    <xf numFmtId="166" fontId="53" fillId="0" borderId="14" xfId="1" applyFont="1" applyFill="1" applyBorder="1" applyAlignment="1">
      <alignment horizontal="left" vertical="center" indent="1"/>
    </xf>
    <xf numFmtId="166" fontId="53" fillId="0" borderId="24" xfId="1" applyFont="1" applyFill="1" applyBorder="1" applyAlignment="1">
      <alignment horizontal="left" vertical="center" indent="1"/>
    </xf>
    <xf numFmtId="169" fontId="53" fillId="0" borderId="0" xfId="3" applyNumberFormat="1" applyFont="1">
      <alignment horizontal="left" vertical="center" indent="1"/>
    </xf>
    <xf numFmtId="166" fontId="53" fillId="0" borderId="29" xfId="1" applyFont="1" applyFill="1" applyBorder="1" applyAlignment="1">
      <alignment horizontal="left" vertical="center" indent="1"/>
    </xf>
    <xf numFmtId="166" fontId="55" fillId="0" borderId="25" xfId="1" applyFont="1" applyFill="1" applyBorder="1" applyAlignment="1">
      <alignment horizontal="left" vertical="center" indent="1"/>
    </xf>
    <xf numFmtId="4" fontId="53" fillId="0" borderId="0" xfId="0" applyNumberFormat="1" applyFont="1" applyAlignment="1">
      <alignment horizontal="center"/>
    </xf>
    <xf numFmtId="169" fontId="34" fillId="0" borderId="18" xfId="3" applyNumberFormat="1" applyFont="1" applyBorder="1" applyAlignment="1">
      <alignment horizontal="center" vertical="center"/>
    </xf>
    <xf numFmtId="169" fontId="34" fillId="0" borderId="36" xfId="3" applyNumberFormat="1" applyFont="1" applyBorder="1" applyAlignment="1">
      <alignment vertical="center"/>
    </xf>
    <xf numFmtId="169" fontId="34" fillId="0" borderId="13" xfId="3" applyNumberFormat="1" applyFont="1" applyBorder="1">
      <alignment horizontal="left" vertical="center" indent="1"/>
    </xf>
    <xf numFmtId="166" fontId="34" fillId="0" borderId="14" xfId="1" applyFont="1" applyFill="1" applyBorder="1" applyAlignment="1">
      <alignment horizontal="left" vertical="center" indent="1"/>
    </xf>
    <xf numFmtId="0" fontId="43" fillId="0" borderId="13" xfId="4" applyFont="1" applyBorder="1"/>
    <xf numFmtId="166" fontId="40" fillId="0" borderId="27" xfId="1" applyFont="1" applyFill="1" applyBorder="1" applyAlignment="1">
      <alignment horizontal="left" vertical="center" indent="1"/>
    </xf>
    <xf numFmtId="169" fontId="34" fillId="0" borderId="0" xfId="3" applyNumberFormat="1" applyFont="1">
      <alignment horizontal="left" vertical="center" indent="1"/>
    </xf>
    <xf numFmtId="4" fontId="34" fillId="0" borderId="0" xfId="0" applyNumberFormat="1" applyFont="1" applyAlignment="1">
      <alignment horizontal="center"/>
    </xf>
    <xf numFmtId="169" fontId="40" fillId="11" borderId="0" xfId="3" applyNumberFormat="1" applyFont="1" applyFill="1" applyAlignment="1">
      <alignment vertical="center"/>
    </xf>
    <xf numFmtId="169" fontId="34" fillId="11" borderId="21" xfId="3" applyNumberFormat="1" applyFont="1" applyFill="1" applyBorder="1">
      <alignment horizontal="left" vertical="center" indent="1"/>
    </xf>
    <xf numFmtId="166" fontId="34" fillId="11" borderId="31" xfId="1" applyFont="1" applyFill="1" applyBorder="1" applyAlignment="1">
      <alignment horizontal="left" vertical="center" indent="1"/>
    </xf>
    <xf numFmtId="0" fontId="43" fillId="11" borderId="15" xfId="4" applyFont="1" applyFill="1" applyBorder="1"/>
    <xf numFmtId="166" fontId="43" fillId="11" borderId="22" xfId="1" applyFont="1" applyFill="1" applyBorder="1"/>
    <xf numFmtId="166" fontId="40" fillId="11" borderId="27" xfId="1" applyFont="1" applyFill="1" applyBorder="1" applyAlignment="1">
      <alignment horizontal="left" vertical="center" indent="1"/>
    </xf>
    <xf numFmtId="4" fontId="34" fillId="2" borderId="0" xfId="0" applyNumberFormat="1" applyFont="1" applyFill="1" applyAlignment="1">
      <alignment horizontal="center"/>
    </xf>
    <xf numFmtId="169" fontId="34" fillId="0" borderId="37" xfId="3" applyNumberFormat="1" applyFont="1" applyBorder="1" applyAlignment="1">
      <alignment vertical="center"/>
    </xf>
    <xf numFmtId="169" fontId="34" fillId="0" borderId="38" xfId="3" applyNumberFormat="1" applyFont="1" applyBorder="1">
      <alignment horizontal="left" vertical="center" indent="1"/>
    </xf>
    <xf numFmtId="166" fontId="34" fillId="0" borderId="39" xfId="1" applyFont="1" applyFill="1" applyBorder="1" applyAlignment="1">
      <alignment horizontal="left" vertical="center" indent="1"/>
    </xf>
    <xf numFmtId="0" fontId="43" fillId="0" borderId="38" xfId="4" applyFont="1" applyBorder="1"/>
    <xf numFmtId="166" fontId="43" fillId="0" borderId="38" xfId="1" applyFont="1" applyFill="1" applyBorder="1"/>
    <xf numFmtId="169" fontId="34" fillId="0" borderId="20" xfId="3" applyNumberFormat="1" applyFont="1" applyBorder="1" applyAlignment="1">
      <alignment vertical="center"/>
    </xf>
    <xf numFmtId="169" fontId="34" fillId="0" borderId="19" xfId="3" applyNumberFormat="1" applyFont="1" applyBorder="1">
      <alignment horizontal="left" vertical="center" indent="1"/>
    </xf>
    <xf numFmtId="166" fontId="34" fillId="0" borderId="19" xfId="1" applyFont="1" applyFill="1" applyBorder="1" applyAlignment="1">
      <alignment horizontal="left" vertical="center" indent="1"/>
    </xf>
    <xf numFmtId="166" fontId="43" fillId="0" borderId="19" xfId="1" applyFont="1" applyFill="1" applyBorder="1"/>
    <xf numFmtId="169" fontId="34" fillId="0" borderId="32" xfId="3" applyNumberFormat="1" applyFont="1" applyBorder="1" applyAlignment="1">
      <alignment vertical="center"/>
    </xf>
    <xf numFmtId="169" fontId="34" fillId="0" borderId="33" xfId="3" applyNumberFormat="1" applyFont="1" applyBorder="1">
      <alignment horizontal="left" vertical="center" indent="1"/>
    </xf>
    <xf numFmtId="166" fontId="34" fillId="0" borderId="33" xfId="1" applyFont="1" applyFill="1" applyBorder="1" applyAlignment="1">
      <alignment horizontal="left" vertical="center" indent="1"/>
    </xf>
    <xf numFmtId="0" fontId="43" fillId="0" borderId="33" xfId="4" applyFont="1" applyBorder="1"/>
    <xf numFmtId="166" fontId="43" fillId="0" borderId="33" xfId="1" applyFont="1" applyFill="1" applyBorder="1"/>
    <xf numFmtId="0" fontId="42" fillId="10" borderId="40" xfId="0" applyFont="1" applyFill="1" applyBorder="1" applyAlignment="1">
      <alignment vertical="center"/>
    </xf>
    <xf numFmtId="0" fontId="38" fillId="10" borderId="40" xfId="0" applyFont="1" applyFill="1" applyBorder="1"/>
    <xf numFmtId="166" fontId="34" fillId="10" borderId="40" xfId="1" applyFont="1" applyFill="1" applyBorder="1" applyAlignment="1">
      <alignment horizontal="right"/>
    </xf>
    <xf numFmtId="0" fontId="34" fillId="10" borderId="41" xfId="0" applyFont="1" applyFill="1" applyBorder="1"/>
    <xf numFmtId="166" fontId="43" fillId="10" borderId="42" xfId="1" applyFont="1" applyFill="1" applyBorder="1"/>
    <xf numFmtId="166" fontId="40" fillId="10" borderId="43" xfId="1" applyFont="1" applyFill="1" applyBorder="1" applyAlignment="1"/>
    <xf numFmtId="0" fontId="43" fillId="0" borderId="15" xfId="4" applyFont="1" applyBorder="1"/>
    <xf numFmtId="169" fontId="34" fillId="0" borderId="44" xfId="3" applyNumberFormat="1" applyFont="1" applyBorder="1" applyAlignment="1">
      <alignment horizontal="center" vertical="center"/>
    </xf>
    <xf numFmtId="169" fontId="34" fillId="0" borderId="0" xfId="3" applyNumberFormat="1" applyFont="1" applyAlignment="1">
      <alignment vertical="center"/>
    </xf>
    <xf numFmtId="166" fontId="34" fillId="0" borderId="0" xfId="1" applyFont="1" applyFill="1" applyBorder="1" applyAlignment="1">
      <alignment horizontal="left" vertical="center" indent="1"/>
    </xf>
    <xf numFmtId="166" fontId="43" fillId="0" borderId="4" xfId="1" applyFont="1" applyFill="1" applyBorder="1"/>
    <xf numFmtId="169" fontId="34" fillId="0" borderId="45" xfId="3" applyNumberFormat="1" applyFont="1" applyBorder="1" applyAlignment="1">
      <alignment horizontal="center" vertical="center"/>
    </xf>
    <xf numFmtId="169" fontId="34" fillId="0" borderId="19" xfId="3" applyNumberFormat="1" applyFont="1" applyBorder="1" applyAlignment="1">
      <alignment vertical="center"/>
    </xf>
    <xf numFmtId="166" fontId="34" fillId="0" borderId="36" xfId="1" applyFont="1" applyFill="1" applyBorder="1" applyAlignment="1">
      <alignment horizontal="left" vertical="center" indent="1"/>
    </xf>
    <xf numFmtId="169" fontId="34" fillId="11" borderId="19" xfId="3" applyNumberFormat="1" applyFont="1" applyFill="1" applyBorder="1">
      <alignment horizontal="left" vertical="center" indent="1"/>
    </xf>
    <xf numFmtId="166" fontId="40" fillId="13" borderId="27" xfId="1" applyFont="1" applyFill="1" applyBorder="1" applyAlignment="1">
      <alignment horizontal="left" vertical="center" indent="1"/>
    </xf>
    <xf numFmtId="0" fontId="34" fillId="0" borderId="46" xfId="4" applyFont="1" applyBorder="1" applyAlignment="1">
      <alignment horizontal="center"/>
    </xf>
    <xf numFmtId="0" fontId="44" fillId="2" borderId="36" xfId="4" applyFont="1" applyFill="1" applyBorder="1" applyAlignment="1">
      <alignment horizontal="left"/>
    </xf>
    <xf numFmtId="0" fontId="43" fillId="2" borderId="47" xfId="4" applyFont="1" applyFill="1" applyBorder="1"/>
    <xf numFmtId="166" fontId="44" fillId="2" borderId="36" xfId="1" applyFont="1" applyFill="1" applyBorder="1" applyAlignment="1"/>
    <xf numFmtId="0" fontId="44" fillId="2" borderId="13" xfId="4" applyFont="1" applyFill="1" applyBorder="1"/>
    <xf numFmtId="166" fontId="44" fillId="2" borderId="48" xfId="1" applyFont="1" applyFill="1" applyBorder="1"/>
    <xf numFmtId="164" fontId="34" fillId="0" borderId="0" xfId="4" applyNumberFormat="1" applyFont="1"/>
    <xf numFmtId="0" fontId="34" fillId="0" borderId="0" xfId="4" applyFont="1" applyAlignment="1">
      <alignment horizontal="left"/>
    </xf>
    <xf numFmtId="166" fontId="34" fillId="0" borderId="0" xfId="1" applyFont="1" applyFill="1" applyAlignment="1"/>
    <xf numFmtId="164" fontId="40" fillId="0" borderId="0" xfId="4" applyNumberFormat="1" applyFont="1"/>
    <xf numFmtId="43" fontId="34" fillId="0" borderId="0" xfId="4" applyNumberFormat="1" applyFont="1"/>
    <xf numFmtId="0" fontId="34" fillId="0" borderId="19" xfId="4" applyFont="1" applyBorder="1"/>
  </cellXfs>
  <cellStyles count="6">
    <cellStyle name="Comma" xfId="1" builtinId="3"/>
    <cellStyle name="Input 2" xfId="3" xr:uid="{70AFB69C-A0C5-47C5-B79B-983DCA79B4F7}"/>
    <cellStyle name="Normal" xfId="0" builtinId="0"/>
    <cellStyle name="Normal 2" xfId="4" xr:uid="{0E513579-691C-4BBD-B372-12AD412AEB26}"/>
    <cellStyle name="Normal 8" xfId="5" xr:uid="{5CAF0EE6-6D68-4739-8882-4060B0BEA0BB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7D431D45-0330-466C-8A17-8D73F820B0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ETENTIVE/Downloads/GoBitumen%20BUDGET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ASSUMPTION"/>
      <sheetName val="HIGH COST ITEMS"/>
      <sheetName val="SALES BUDGET"/>
      <sheetName val="ASSUMPTIONS"/>
      <sheetName val="Production Volume"/>
      <sheetName val="Direct Materials"/>
      <sheetName val="Factory Overheads"/>
      <sheetName val="Cost of Goods Sold"/>
      <sheetName val="Direct Labor"/>
      <sheetName val="SG&amp;A Budget --&gt;"/>
      <sheetName val="Payroll Expense"/>
      <sheetName val="SALARIES BUDGET"/>
      <sheetName val="OTHER ADMIN EXPENSES GOB (2)"/>
      <sheetName val="SG&amp;A Expense"/>
      <sheetName val="Fixed Assets"/>
      <sheetName val="2027 MAINTENANCE"/>
      <sheetName val="CAPEX ESTIMATE"/>
      <sheetName val="Recurrent cost apportionment"/>
      <sheetName val="2027 PRODUCTION"/>
      <sheetName val="2027 ADMIN"/>
      <sheetName val="2027 HSSE"/>
      <sheetName val="2027 LABORATORY"/>
      <sheetName val="ADMINISTRATIVE BUDGET"/>
      <sheetName val="HSSE BUDGET-2026"/>
      <sheetName val="PRODUCTION AND PLANT BUDGET"/>
      <sheetName val="LAB BUDGET-2026"/>
      <sheetName val="MAINTENANCE BUDGET"/>
      <sheetName val="Sheet3"/>
      <sheetName val="Working Capital"/>
      <sheetName val="CAPEX SUMMARY"/>
      <sheetName val="DEPRECIATION WORKINGS"/>
      <sheetName val="Sheet4"/>
      <sheetName val="Master Budget"/>
      <sheetName val="Income Statement"/>
      <sheetName val="Balance Sheet"/>
      <sheetName val="Sheet1"/>
      <sheetName val="Cash Flow Statement"/>
      <sheetName val="QUARTERLY ANALYSIS"/>
      <sheetName val="ACTUAL TO BUDGET"/>
      <sheetName val="2026 Mktg Budget - Breakdown "/>
      <sheetName val="TERMINAL MGR BUDGET 2026"/>
      <sheetName val="WORKINGS FOR OTHER ADMIN BUDGET"/>
    </sheetNames>
    <sheetDataSet>
      <sheetData sheetId="0"/>
      <sheetData sheetId="1"/>
      <sheetData sheetId="2"/>
      <sheetData sheetId="3">
        <row r="11">
          <cell r="M11">
            <v>6600</v>
          </cell>
        </row>
        <row r="12">
          <cell r="M12">
            <v>34320</v>
          </cell>
        </row>
        <row r="13">
          <cell r="M13">
            <v>11880</v>
          </cell>
        </row>
        <row r="14">
          <cell r="M14">
            <v>13200</v>
          </cell>
        </row>
        <row r="15">
          <cell r="M15">
            <v>66000</v>
          </cell>
        </row>
        <row r="40">
          <cell r="C40">
            <v>5.0999999999999996</v>
          </cell>
          <cell r="D40">
            <v>4.9000000000000004</v>
          </cell>
        </row>
        <row r="42">
          <cell r="C42">
            <v>10</v>
          </cell>
        </row>
        <row r="48">
          <cell r="M48">
            <v>90881710.709999993</v>
          </cell>
          <cell r="N48">
            <v>263797486.06</v>
          </cell>
          <cell r="O48">
            <v>354679196.76999998</v>
          </cell>
        </row>
        <row r="55">
          <cell r="N55">
            <v>0.39455756843800299</v>
          </cell>
        </row>
        <row r="56">
          <cell r="N56">
            <v>3.5929951690821301E-3</v>
          </cell>
        </row>
        <row r="57">
          <cell r="N57">
            <v>1.8494363929146536E-3</v>
          </cell>
        </row>
        <row r="58">
          <cell r="N58">
            <v>0.7</v>
          </cell>
        </row>
        <row r="64">
          <cell r="N64">
            <v>2.191244315187477E-3</v>
          </cell>
        </row>
        <row r="65">
          <cell r="N65">
            <v>2.3904483438408841E-2</v>
          </cell>
        </row>
        <row r="66">
          <cell r="N66">
            <v>0.97390353873479985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15">
          <cell r="N15">
            <v>-367.8386228</v>
          </cell>
        </row>
        <row r="16">
          <cell r="N16">
            <v>-2310.7176331300006</v>
          </cell>
        </row>
      </sheetData>
      <sheetData sheetId="11">
        <row r="46">
          <cell r="L46">
            <v>7701813.3048199993</v>
          </cell>
        </row>
      </sheetData>
      <sheetData sheetId="12">
        <row r="2">
          <cell r="D2">
            <v>611415.96195220959</v>
          </cell>
        </row>
        <row r="10">
          <cell r="D10">
            <v>2293488.0944809997</v>
          </cell>
        </row>
        <row r="12">
          <cell r="D12">
            <v>10602213.584702803</v>
          </cell>
        </row>
        <row r="13">
          <cell r="D13">
            <v>457704</v>
          </cell>
        </row>
        <row r="14">
          <cell r="D14">
            <v>334271.7</v>
          </cell>
        </row>
      </sheetData>
      <sheetData sheetId="13"/>
      <sheetData sheetId="14"/>
      <sheetData sheetId="15">
        <row r="13">
          <cell r="L13">
            <v>500000</v>
          </cell>
        </row>
        <row r="42">
          <cell r="L42">
            <v>2500000</v>
          </cell>
        </row>
        <row r="43">
          <cell r="L43">
            <v>550000</v>
          </cell>
        </row>
        <row r="47">
          <cell r="L47">
            <v>16173123.216050003</v>
          </cell>
        </row>
        <row r="48">
          <cell r="L48">
            <v>15291489.791787503</v>
          </cell>
        </row>
        <row r="49">
          <cell r="L49">
            <v>21512270.438322306</v>
          </cell>
        </row>
        <row r="50">
          <cell r="L50">
            <v>758142</v>
          </cell>
        </row>
        <row r="51">
          <cell r="L51">
            <v>550000</v>
          </cell>
        </row>
        <row r="52">
          <cell r="L52">
            <v>117185.262285</v>
          </cell>
        </row>
        <row r="53">
          <cell r="L53">
            <v>97121.608605000016</v>
          </cell>
        </row>
        <row r="54">
          <cell r="L54">
            <v>103383</v>
          </cell>
        </row>
        <row r="55">
          <cell r="L55">
            <v>1500000</v>
          </cell>
        </row>
        <row r="56">
          <cell r="L56">
            <v>364735.22399999999</v>
          </cell>
        </row>
        <row r="57">
          <cell r="L57">
            <v>425227.75</v>
          </cell>
        </row>
        <row r="75">
          <cell r="L75">
            <v>285000</v>
          </cell>
        </row>
        <row r="76">
          <cell r="L76">
            <v>125000</v>
          </cell>
        </row>
        <row r="77">
          <cell r="L77">
            <v>950000</v>
          </cell>
        </row>
        <row r="83">
          <cell r="L83">
            <v>55000</v>
          </cell>
        </row>
      </sheetData>
      <sheetData sheetId="16"/>
      <sheetData sheetId="17">
        <row r="95">
          <cell r="F95">
            <v>0</v>
          </cell>
        </row>
        <row r="98">
          <cell r="F98">
            <v>9455.2920987525031</v>
          </cell>
        </row>
        <row r="99">
          <cell r="F99">
            <v>169099.00000000003</v>
          </cell>
        </row>
        <row r="100">
          <cell r="F100">
            <v>383655.85082729417</v>
          </cell>
        </row>
        <row r="101">
          <cell r="F101">
            <v>27807.5</v>
          </cell>
        </row>
        <row r="102">
          <cell r="F102">
            <v>165519.1384</v>
          </cell>
        </row>
        <row r="104">
          <cell r="F104">
            <v>66980.697000000015</v>
          </cell>
        </row>
        <row r="110">
          <cell r="F110">
            <v>400588.23529411759</v>
          </cell>
        </row>
        <row r="111">
          <cell r="F111">
            <v>6403.2581173260569</v>
          </cell>
        </row>
        <row r="117">
          <cell r="F117">
            <v>3038.4864392905865</v>
          </cell>
        </row>
        <row r="118">
          <cell r="F118">
            <v>4444.017789904502</v>
          </cell>
        </row>
        <row r="119">
          <cell r="F119">
            <v>6324.2323213751706</v>
          </cell>
        </row>
        <row r="120">
          <cell r="F120">
            <v>49470.648443263301</v>
          </cell>
        </row>
        <row r="121">
          <cell r="F121">
            <v>2256.6548431105048</v>
          </cell>
        </row>
        <row r="122">
          <cell r="F122">
            <v>484341.27910000004</v>
          </cell>
        </row>
        <row r="171">
          <cell r="F171">
            <v>737928</v>
          </cell>
        </row>
        <row r="173">
          <cell r="F173">
            <v>34461</v>
          </cell>
        </row>
        <row r="201">
          <cell r="F201">
            <v>138151.85159999999</v>
          </cell>
        </row>
      </sheetData>
      <sheetData sheetId="18"/>
      <sheetData sheetId="19">
        <row r="118">
          <cell r="J118">
            <v>20676.600000000002</v>
          </cell>
        </row>
        <row r="119">
          <cell r="J119">
            <v>36758.400000000001</v>
          </cell>
        </row>
        <row r="120">
          <cell r="J120">
            <v>16417.220400000002</v>
          </cell>
        </row>
        <row r="121">
          <cell r="J121">
            <v>39725</v>
          </cell>
        </row>
        <row r="122">
          <cell r="J122">
            <v>50542.8</v>
          </cell>
        </row>
        <row r="123">
          <cell r="J123">
            <v>17592.5</v>
          </cell>
        </row>
        <row r="124">
          <cell r="J124">
            <v>68922</v>
          </cell>
        </row>
        <row r="125">
          <cell r="J125">
            <v>57435</v>
          </cell>
        </row>
        <row r="126">
          <cell r="J126">
            <v>851250</v>
          </cell>
        </row>
        <row r="127">
          <cell r="J127">
            <v>516915</v>
          </cell>
        </row>
        <row r="128">
          <cell r="J128">
            <v>172305</v>
          </cell>
        </row>
      </sheetData>
      <sheetData sheetId="20">
        <row r="6">
          <cell r="G6">
            <v>271269.8413425</v>
          </cell>
        </row>
        <row r="7">
          <cell r="G7">
            <v>234781.56</v>
          </cell>
        </row>
        <row r="66">
          <cell r="G66">
            <v>305135.4657</v>
          </cell>
        </row>
        <row r="67">
          <cell r="G67">
            <v>432208</v>
          </cell>
        </row>
        <row r="68">
          <cell r="G68">
            <v>325745</v>
          </cell>
        </row>
        <row r="69">
          <cell r="G69">
            <v>364675.5</v>
          </cell>
        </row>
        <row r="70">
          <cell r="G70">
            <v>62129.9</v>
          </cell>
        </row>
        <row r="71">
          <cell r="G71">
            <v>156452.94</v>
          </cell>
        </row>
        <row r="72">
          <cell r="G72">
            <v>337662.5</v>
          </cell>
        </row>
        <row r="73">
          <cell r="G73">
            <v>98745</v>
          </cell>
        </row>
      </sheetData>
      <sheetData sheetId="21">
        <row r="48">
          <cell r="G48">
            <v>321205</v>
          </cell>
        </row>
        <row r="49">
          <cell r="G49">
            <v>309117.9105</v>
          </cell>
        </row>
        <row r="50">
          <cell r="G50">
            <v>56133.283499999998</v>
          </cell>
        </row>
        <row r="51">
          <cell r="G51">
            <v>6954.2550000000001</v>
          </cell>
        </row>
        <row r="52">
          <cell r="G52">
            <v>30731.4</v>
          </cell>
        </row>
      </sheetData>
      <sheetData sheetId="22">
        <row r="60">
          <cell r="J60">
            <v>260000</v>
          </cell>
        </row>
        <row r="80">
          <cell r="K80">
            <v>4582820</v>
          </cell>
        </row>
        <row r="88">
          <cell r="J88">
            <v>1337086.8</v>
          </cell>
        </row>
        <row r="101">
          <cell r="J101">
            <v>1800000</v>
          </cell>
        </row>
        <row r="102">
          <cell r="J102">
            <v>2337086.7999999998</v>
          </cell>
        </row>
        <row r="103">
          <cell r="J103">
            <v>800000.00040000002</v>
          </cell>
        </row>
      </sheetData>
      <sheetData sheetId="23">
        <row r="76">
          <cell r="K76">
            <v>385084.32962999999</v>
          </cell>
        </row>
      </sheetData>
      <sheetData sheetId="24">
        <row r="23">
          <cell r="T23">
            <v>447993</v>
          </cell>
        </row>
      </sheetData>
      <sheetData sheetId="25">
        <row r="80">
          <cell r="G80">
            <v>137562.9675</v>
          </cell>
        </row>
        <row r="81">
          <cell r="G81">
            <v>251565.42572699999</v>
          </cell>
        </row>
        <row r="82">
          <cell r="G82">
            <v>700441.55999999994</v>
          </cell>
        </row>
      </sheetData>
      <sheetData sheetId="26">
        <row r="23">
          <cell r="I23">
            <v>471454.19999999995</v>
          </cell>
        </row>
      </sheetData>
      <sheetData sheetId="27"/>
      <sheetData sheetId="28"/>
      <sheetData sheetId="29"/>
      <sheetData sheetId="30">
        <row r="14">
          <cell r="C14">
            <v>5306605.2085266411</v>
          </cell>
          <cell r="D14">
            <v>2470121.70725</v>
          </cell>
          <cell r="E14">
            <v>217000.46470925715</v>
          </cell>
          <cell r="F14">
            <v>523926.68</v>
          </cell>
          <cell r="G14">
            <v>2953648.2749999999</v>
          </cell>
          <cell r="I14">
            <v>40651.326430586174</v>
          </cell>
        </row>
        <row r="28">
          <cell r="E28">
            <v>17045.8655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10">
          <cell r="G10">
            <v>132000</v>
          </cell>
        </row>
        <row r="11">
          <cell r="G11">
            <v>1000000</v>
          </cell>
        </row>
        <row r="12">
          <cell r="G12">
            <v>100000</v>
          </cell>
        </row>
        <row r="30">
          <cell r="G30">
            <v>304835</v>
          </cell>
        </row>
        <row r="53">
          <cell r="G53">
            <v>20818</v>
          </cell>
        </row>
        <row r="54">
          <cell r="G54">
            <v>62454</v>
          </cell>
        </row>
      </sheetData>
      <sheetData sheetId="40"/>
      <sheetData sheetId="41">
        <row r="3">
          <cell r="C3">
            <v>9304.4700000000012</v>
          </cell>
        </row>
        <row r="4">
          <cell r="C4">
            <v>86152.5</v>
          </cell>
        </row>
        <row r="27">
          <cell r="B27">
            <v>98660.345654214136</v>
          </cell>
        </row>
        <row r="34">
          <cell r="C34">
            <v>1228363.21</v>
          </cell>
        </row>
        <row r="46">
          <cell r="B46">
            <v>-627099.60230248002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E67E-3EBD-4C90-8F78-10D1C233C7BD}">
  <dimension ref="A3:W46"/>
  <sheetViews>
    <sheetView showGridLines="0" tabSelected="1" topLeftCell="A7" zoomScaleNormal="100" workbookViewId="0">
      <pane xSplit="2" topLeftCell="C1" activePane="topRight" state="frozen"/>
      <selection activeCell="B15" sqref="B15"/>
      <selection pane="topRight" activeCell="B15" sqref="B15"/>
    </sheetView>
  </sheetViews>
  <sheetFormatPr defaultColWidth="8.6640625" defaultRowHeight="11.65" x14ac:dyDescent="0.35"/>
  <cols>
    <col min="1" max="1" width="2.46484375" style="4" customWidth="1"/>
    <col min="2" max="2" width="21.86328125" style="4" customWidth="1"/>
    <col min="3" max="3" width="21.33203125" style="4" customWidth="1"/>
    <col min="4" max="4" width="17.46484375" style="4" bestFit="1" customWidth="1"/>
    <col min="5" max="5" width="14.53125" style="4" bestFit="1" customWidth="1"/>
    <col min="6" max="6" width="2.796875" style="4" customWidth="1"/>
    <col min="7" max="7" width="11.53125" style="4" bestFit="1" customWidth="1"/>
    <col min="8" max="8" width="11.53125" style="4" customWidth="1"/>
    <col min="9" max="9" width="11.53125" style="4" bestFit="1" customWidth="1"/>
    <col min="10" max="10" width="17.46484375" style="4" bestFit="1" customWidth="1"/>
    <col min="11" max="11" width="13.46484375" style="5" bestFit="1" customWidth="1"/>
    <col min="12" max="12" width="0.53125" style="4" customWidth="1"/>
    <col min="13" max="13" width="12" style="5" customWidth="1"/>
    <col min="14" max="14" width="15.46484375" style="4" bestFit="1" customWidth="1"/>
    <col min="15" max="15" width="12.1328125" style="4" customWidth="1"/>
    <col min="16" max="16" width="10.46484375" style="4" customWidth="1"/>
    <col min="17" max="17" width="10" style="4" bestFit="1" customWidth="1"/>
    <col min="18" max="18" width="10" style="4" customWidth="1"/>
    <col min="19" max="19" width="9.53125" style="4" customWidth="1"/>
    <col min="20" max="20" width="9" style="4" bestFit="1" customWidth="1"/>
    <col min="21" max="16384" width="8.6640625" style="4"/>
  </cols>
  <sheetData>
    <row r="3" spans="2:23" ht="15" customHeight="1" x14ac:dyDescent="0.5">
      <c r="B3" s="1"/>
      <c r="C3" s="2" t="s">
        <v>0</v>
      </c>
      <c r="D3" s="2"/>
      <c r="E3" s="2"/>
      <c r="F3" s="2"/>
      <c r="G3" s="2"/>
      <c r="H3" s="2"/>
      <c r="I3" s="2"/>
      <c r="J3" s="2"/>
      <c r="K3" s="3"/>
      <c r="L3" s="1"/>
      <c r="M3" s="3"/>
    </row>
    <row r="4" spans="2:23" ht="17.649999999999999" x14ac:dyDescent="0.5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spans="2:23" ht="12" thickBot="1" x14ac:dyDescent="0.4">
      <c r="O6" s="6"/>
    </row>
    <row r="7" spans="2:23" ht="12.4" thickTop="1" thickBot="1" x14ac:dyDescent="0.4">
      <c r="G7" s="7" t="s">
        <v>2</v>
      </c>
      <c r="H7" s="8" t="s">
        <v>3</v>
      </c>
      <c r="N7" s="9"/>
    </row>
    <row r="8" spans="2:23" ht="12" thickTop="1" x14ac:dyDescent="0.35"/>
    <row r="9" spans="2:23" x14ac:dyDescent="0.35">
      <c r="P9" s="6"/>
      <c r="Q9" s="6"/>
      <c r="R9" s="6"/>
      <c r="S9" s="6"/>
    </row>
    <row r="10" spans="2:23" x14ac:dyDescent="0.35">
      <c r="B10" s="10"/>
      <c r="C10" s="11" t="s">
        <v>4</v>
      </c>
      <c r="D10" s="11"/>
      <c r="E10" s="11"/>
      <c r="F10" s="12"/>
      <c r="G10" s="11" t="s">
        <v>5</v>
      </c>
      <c r="H10" s="11"/>
      <c r="I10" s="11"/>
      <c r="J10" s="11"/>
      <c r="K10" s="11"/>
      <c r="L10" s="11"/>
      <c r="M10" s="11"/>
      <c r="N10" s="10"/>
      <c r="P10" s="6"/>
      <c r="Q10" s="6"/>
      <c r="R10" s="13"/>
      <c r="S10" s="6"/>
    </row>
    <row r="11" spans="2:23" ht="28.25" customHeight="1" thickBot="1" x14ac:dyDescent="0.4">
      <c r="B11" s="14" t="s">
        <v>6</v>
      </c>
      <c r="C11" s="15" t="s">
        <v>7</v>
      </c>
      <c r="D11" s="15" t="s">
        <v>8</v>
      </c>
      <c r="E11" s="16" t="s">
        <v>9</v>
      </c>
      <c r="F11" s="12"/>
      <c r="G11" s="17" t="s">
        <v>10</v>
      </c>
      <c r="H11" s="17" t="s">
        <v>11</v>
      </c>
      <c r="I11" s="17" t="s">
        <v>12</v>
      </c>
      <c r="J11" s="17" t="s">
        <v>13</v>
      </c>
      <c r="K11" s="17" t="s">
        <v>14</v>
      </c>
      <c r="L11" s="18"/>
      <c r="M11" s="19" t="s">
        <v>15</v>
      </c>
      <c r="N11" s="10"/>
      <c r="O11" s="20"/>
      <c r="P11" s="21"/>
      <c r="Q11" s="21"/>
      <c r="R11" s="22"/>
      <c r="S11" s="22"/>
      <c r="T11" s="23"/>
      <c r="U11" s="24"/>
      <c r="V11" s="25"/>
      <c r="W11" s="26"/>
    </row>
    <row r="12" spans="2:23" x14ac:dyDescent="0.35">
      <c r="B12" s="27" t="s">
        <v>16</v>
      </c>
      <c r="C12" s="28">
        <f>SUM(C14:C17)</f>
        <v>17576.760000000002</v>
      </c>
      <c r="D12" s="29">
        <v>39420</v>
      </c>
      <c r="E12" s="30">
        <f>C12/D12-1</f>
        <v>-0.55411567732115674</v>
      </c>
      <c r="F12" s="10"/>
      <c r="G12" s="28">
        <f>SUM(G14:G17)</f>
        <v>10617.015848252579</v>
      </c>
      <c r="H12" s="28">
        <f t="shared" ref="H12:J12" si="0">SUM(H14:H17)</f>
        <v>9339.1223675640867</v>
      </c>
      <c r="I12" s="28">
        <f>SUM(I14:I17)</f>
        <v>10348.247522710495</v>
      </c>
      <c r="J12" s="28">
        <f t="shared" si="0"/>
        <v>12195.616434789543</v>
      </c>
      <c r="K12" s="31">
        <f>([1]ASSUMPTIONS!M15)*N43</f>
        <v>42499.999997400002</v>
      </c>
      <c r="L12" s="10"/>
      <c r="M12" s="32">
        <f>K12/C12-1</f>
        <v>1.4179655407139879</v>
      </c>
      <c r="N12" s="10"/>
      <c r="O12" s="33"/>
      <c r="P12" s="21"/>
      <c r="Q12" s="21"/>
      <c r="R12" s="34"/>
      <c r="S12" s="34"/>
      <c r="T12" s="34"/>
      <c r="U12" s="35"/>
      <c r="V12" s="36"/>
    </row>
    <row r="13" spans="2:23" x14ac:dyDescent="0.35">
      <c r="B13" s="10"/>
      <c r="C13" s="28"/>
      <c r="D13" s="37"/>
      <c r="E13" s="28"/>
      <c r="F13" s="10"/>
      <c r="G13" s="10"/>
      <c r="H13" s="10"/>
      <c r="I13" s="10"/>
      <c r="J13" s="38"/>
      <c r="K13" s="27"/>
      <c r="L13" s="10"/>
      <c r="M13" s="27"/>
      <c r="N13" s="10"/>
      <c r="O13" s="20"/>
      <c r="P13" s="21"/>
      <c r="Q13" s="21"/>
      <c r="R13" s="21"/>
      <c r="S13" s="21"/>
      <c r="T13" s="20"/>
    </row>
    <row r="14" spans="2:23" x14ac:dyDescent="0.35">
      <c r="B14" s="10" t="s">
        <v>17</v>
      </c>
      <c r="C14" s="28">
        <v>3906.14</v>
      </c>
      <c r="D14" s="39">
        <v>14851</v>
      </c>
      <c r="E14" s="30">
        <f>C14/D14-1</f>
        <v>-0.73697798128072178</v>
      </c>
      <c r="F14" s="10"/>
      <c r="G14" s="40">
        <f>K14*O14</f>
        <v>1937.1195479721964</v>
      </c>
      <c r="H14" s="40">
        <f>K14*P14</f>
        <v>1851.3008576443242</v>
      </c>
      <c r="I14" s="40">
        <f>K14*Q14</f>
        <v>1910.0361232666919</v>
      </c>
      <c r="J14" s="40">
        <f>K14*R14</f>
        <v>1951.5438693400381</v>
      </c>
      <c r="K14" s="41">
        <f>+[1]ASSUMPTIONS!M13*N43</f>
        <v>7649.9999995319995</v>
      </c>
      <c r="L14" s="10"/>
      <c r="M14" s="32">
        <f>K14/C14-1</f>
        <v>0.95845514997721537</v>
      </c>
      <c r="N14" s="42"/>
      <c r="O14" s="43">
        <v>0.253218241580484</v>
      </c>
      <c r="P14" s="43">
        <v>0.24200011212517392</v>
      </c>
      <c r="Q14" s="43">
        <v>0.2496779246252995</v>
      </c>
      <c r="R14" s="43">
        <v>0.255103773785546</v>
      </c>
      <c r="S14" s="20"/>
      <c r="T14" s="20"/>
    </row>
    <row r="15" spans="2:23" x14ac:dyDescent="0.35">
      <c r="B15" s="10" t="s">
        <v>18</v>
      </c>
      <c r="C15" s="28">
        <v>838.36</v>
      </c>
      <c r="D15" s="39">
        <v>7069</v>
      </c>
      <c r="E15" s="30">
        <f>C15/D15-1</f>
        <v>-0.88140331022775498</v>
      </c>
      <c r="F15" s="10"/>
      <c r="G15" s="40">
        <f>K15*O15</f>
        <v>1837.5644221524271</v>
      </c>
      <c r="H15" s="40">
        <f t="shared" ref="H15:H17" si="1">K15*P15</f>
        <v>2195.4561164529314</v>
      </c>
      <c r="I15" s="40">
        <f>K15*Q15</f>
        <v>2291.1573310977105</v>
      </c>
      <c r="J15" s="40">
        <f t="shared" ref="J15:J16" si="2">K15*R15</f>
        <v>2175.8247388676086</v>
      </c>
      <c r="K15" s="41">
        <f>+[1]ASSUMPTIONS!M14*N43</f>
        <v>8499.99999948</v>
      </c>
      <c r="L15" s="10"/>
      <c r="M15" s="32">
        <f>K15/C15-1</f>
        <v>9.1388425014075096</v>
      </c>
      <c r="N15" s="42"/>
      <c r="O15" s="43">
        <v>0.21618404967821681</v>
      </c>
      <c r="P15" s="43">
        <v>0.25828895489261666</v>
      </c>
      <c r="Q15" s="43">
        <v>0.26954792132210298</v>
      </c>
      <c r="R15" s="43">
        <v>0.255979381058908</v>
      </c>
      <c r="S15" s="20"/>
      <c r="T15" s="20"/>
    </row>
    <row r="16" spans="2:23" x14ac:dyDescent="0.35">
      <c r="B16" s="10" t="s">
        <v>19</v>
      </c>
      <c r="C16" s="28">
        <v>2971.34</v>
      </c>
      <c r="D16" s="39">
        <v>8750</v>
      </c>
      <c r="E16" s="30">
        <f>C16/D16-1</f>
        <v>-0.66041828571428574</v>
      </c>
      <c r="F16" s="10"/>
      <c r="G16" s="40">
        <f>K16*O16</f>
        <v>1143.689989320214</v>
      </c>
      <c r="H16" s="40">
        <f t="shared" si="1"/>
        <v>712.31295941634301</v>
      </c>
      <c r="I16" s="40">
        <f t="shared" ref="I16:I17" si="3">K16*Q16</f>
        <v>1201.6891924782117</v>
      </c>
      <c r="J16" s="40">
        <f t="shared" si="2"/>
        <v>1192.3046491493242</v>
      </c>
      <c r="K16" s="41">
        <f>[1]ASSUMPTIONS!M11*N43</f>
        <v>4249.99999974</v>
      </c>
      <c r="L16" s="10"/>
      <c r="M16" s="32">
        <f>K16/C16-1</f>
        <v>0.43033109632017874</v>
      </c>
      <c r="N16" s="42"/>
      <c r="O16" s="43">
        <v>0.26910352691533668</v>
      </c>
      <c r="P16" s="43">
        <v>0.167603049284687</v>
      </c>
      <c r="Q16" s="43">
        <v>0.28275039824746512</v>
      </c>
      <c r="R16" s="43">
        <v>0.28054227040523888</v>
      </c>
      <c r="S16" s="20"/>
      <c r="T16" s="20"/>
    </row>
    <row r="17" spans="1:20" x14ac:dyDescent="0.35">
      <c r="B17" s="10" t="s">
        <v>20</v>
      </c>
      <c r="C17" s="28">
        <v>9860.92</v>
      </c>
      <c r="D17" s="39">
        <v>8750</v>
      </c>
      <c r="E17" s="30">
        <f>C17/D17-1</f>
        <v>0.12696228571428581</v>
      </c>
      <c r="F17" s="10"/>
      <c r="G17" s="40">
        <f t="shared" ref="G17" si="4">K17*O17</f>
        <v>5698.6418888077405</v>
      </c>
      <c r="H17" s="40">
        <f t="shared" si="1"/>
        <v>4580.052434050489</v>
      </c>
      <c r="I17" s="40">
        <f t="shared" si="3"/>
        <v>4945.3648758678819</v>
      </c>
      <c r="J17" s="40">
        <f>K17*R17</f>
        <v>6875.9431774325731</v>
      </c>
      <c r="K17" s="41">
        <f>[1]ASSUMPTIONS!M12*N43</f>
        <v>22099.999998648</v>
      </c>
      <c r="L17" s="10"/>
      <c r="M17" s="32">
        <f>K17/C17-1</f>
        <v>1.2411701949359695</v>
      </c>
      <c r="N17" s="42"/>
      <c r="O17" s="43">
        <v>0.257857099056849</v>
      </c>
      <c r="P17" s="43">
        <v>0.20724219159867333</v>
      </c>
      <c r="Q17" s="43">
        <v>0.22377216634255304</v>
      </c>
      <c r="R17" s="43">
        <v>0.31112865058159361</v>
      </c>
      <c r="S17" s="20"/>
      <c r="T17" s="20"/>
    </row>
    <row r="18" spans="1:20" x14ac:dyDescent="0.35">
      <c r="B18" s="10"/>
      <c r="C18" s="28"/>
      <c r="D18" s="28"/>
      <c r="E18" s="28"/>
      <c r="F18" s="10"/>
      <c r="G18" s="44"/>
      <c r="H18" s="44"/>
      <c r="I18" s="44"/>
      <c r="J18" s="45"/>
      <c r="K18" s="44"/>
      <c r="L18" s="10"/>
      <c r="M18" s="32"/>
      <c r="N18" s="10"/>
      <c r="O18" s="20"/>
      <c r="P18" s="46"/>
      <c r="Q18" s="20"/>
      <c r="R18" s="20"/>
      <c r="S18" s="20"/>
      <c r="T18" s="20"/>
    </row>
    <row r="19" spans="1:20" x14ac:dyDescent="0.35">
      <c r="B19" s="27" t="s">
        <v>21</v>
      </c>
      <c r="C19" s="38"/>
      <c r="D19" s="38"/>
      <c r="E19" s="38"/>
      <c r="F19" s="10"/>
      <c r="G19" s="10"/>
      <c r="H19" s="10"/>
      <c r="I19" s="10"/>
      <c r="J19" s="38"/>
      <c r="K19" s="27"/>
      <c r="L19" s="10"/>
      <c r="M19" s="27"/>
      <c r="N19" s="47"/>
      <c r="O19" s="20"/>
      <c r="P19" s="20"/>
      <c r="Q19" s="20"/>
      <c r="R19" s="20"/>
      <c r="S19" s="20"/>
      <c r="T19" s="20"/>
    </row>
    <row r="20" spans="1:20" x14ac:dyDescent="0.35">
      <c r="B20" s="10" t="s">
        <v>17</v>
      </c>
      <c r="C20" s="48">
        <f>C14/C$12</f>
        <v>0.22223322159487865</v>
      </c>
      <c r="D20" s="48">
        <f>D14/$D$12</f>
        <v>0.37673769660071033</v>
      </c>
      <c r="E20" s="48"/>
      <c r="F20" s="10"/>
      <c r="G20" s="49">
        <f>G14/$G$12</f>
        <v>0.18245423908743819</v>
      </c>
      <c r="H20" s="49">
        <f>H14/$H$12</f>
        <v>0.19823070999413375</v>
      </c>
      <c r="I20" s="49">
        <f>I14/$I$12</f>
        <v>0.18457580562069897</v>
      </c>
      <c r="J20" s="49">
        <f>J14/$J$12</f>
        <v>0.16002010884607781</v>
      </c>
      <c r="K20" s="50">
        <f>K14/$K$12</f>
        <v>0.18</v>
      </c>
      <c r="L20" s="10"/>
      <c r="M20" s="27"/>
      <c r="N20" s="47"/>
      <c r="O20" s="51"/>
      <c r="P20" s="20"/>
      <c r="Q20" s="20"/>
      <c r="R20" s="20"/>
      <c r="S20" s="20"/>
      <c r="T20" s="20"/>
    </row>
    <row r="21" spans="1:20" x14ac:dyDescent="0.35">
      <c r="B21" s="10" t="s">
        <v>18</v>
      </c>
      <c r="C21" s="48">
        <f>C15/C$12</f>
        <v>4.7697072725576266E-2</v>
      </c>
      <c r="D21" s="48">
        <f t="shared" ref="D21:D23" si="5">D15/$D$12</f>
        <v>0.17932521562658549</v>
      </c>
      <c r="E21" s="48"/>
      <c r="F21" s="10"/>
      <c r="G21" s="49">
        <f>G15/$G$12</f>
        <v>0.17307729859467677</v>
      </c>
      <c r="H21" s="49">
        <f>H15/$H$12</f>
        <v>0.23508163080484079</v>
      </c>
      <c r="I21" s="49">
        <f>I15/$I$12</f>
        <v>0.22140534675745679</v>
      </c>
      <c r="J21" s="49">
        <f>J15/$J$12</f>
        <v>0.1784103944644235</v>
      </c>
      <c r="K21" s="50">
        <f>K15/$K$12</f>
        <v>0.19999999999999998</v>
      </c>
      <c r="L21" s="10"/>
      <c r="M21" s="50"/>
      <c r="N21" s="52"/>
      <c r="O21" s="53"/>
      <c r="P21" s="53"/>
      <c r="Q21" s="53"/>
      <c r="R21" s="53"/>
      <c r="S21" s="53"/>
      <c r="T21" s="53"/>
    </row>
    <row r="22" spans="1:20" x14ac:dyDescent="0.35">
      <c r="B22" s="10" t="s">
        <v>19</v>
      </c>
      <c r="C22" s="48">
        <f>C16/C$12</f>
        <v>0.16904935835728541</v>
      </c>
      <c r="D22" s="48">
        <f t="shared" si="5"/>
        <v>0.22196854388635209</v>
      </c>
      <c r="E22" s="48"/>
      <c r="F22" s="10"/>
      <c r="G22" s="49">
        <f>G16/$G$12</f>
        <v>0.10772235868033016</v>
      </c>
      <c r="H22" s="49">
        <f>H16/$H$12</f>
        <v>7.6271937702657472E-2</v>
      </c>
      <c r="I22" s="49">
        <f>I16/$I$12</f>
        <v>0.11612489842757991</v>
      </c>
      <c r="J22" s="49">
        <f>J16/$J$12</f>
        <v>9.7765017088281322E-2</v>
      </c>
      <c r="K22" s="50">
        <f>K16/$K$12</f>
        <v>9.9999999999999992E-2</v>
      </c>
      <c r="L22" s="10"/>
      <c r="M22" s="27"/>
      <c r="N22" s="52"/>
      <c r="O22" s="53"/>
      <c r="P22" s="53"/>
      <c r="Q22" s="53"/>
      <c r="R22" s="54"/>
      <c r="S22" s="53"/>
      <c r="T22" s="53"/>
    </row>
    <row r="23" spans="1:20" x14ac:dyDescent="0.35">
      <c r="B23" s="10" t="s">
        <v>20</v>
      </c>
      <c r="C23" s="48">
        <f t="shared" ref="C23" si="6">C17/C$12</f>
        <v>0.56102034732225958</v>
      </c>
      <c r="D23" s="48">
        <f t="shared" si="5"/>
        <v>0.22196854388635209</v>
      </c>
      <c r="E23" s="48"/>
      <c r="F23" s="10"/>
      <c r="G23" s="49">
        <f>G17/$G$12</f>
        <v>0.53674610363755482</v>
      </c>
      <c r="H23" s="49">
        <f>H17/$H$12</f>
        <v>0.49041572149836804</v>
      </c>
      <c r="I23" s="49">
        <f>I17/$I$12</f>
        <v>0.47789394919426442</v>
      </c>
      <c r="J23" s="49">
        <f>J17/$J$12</f>
        <v>0.56380447960121749</v>
      </c>
      <c r="K23" s="50">
        <f>K17/$K$12</f>
        <v>0.52</v>
      </c>
      <c r="L23" s="10"/>
      <c r="M23" s="27"/>
      <c r="N23" s="52"/>
      <c r="R23" s="6"/>
    </row>
    <row r="24" spans="1:20" x14ac:dyDescent="0.35">
      <c r="B24" s="10"/>
      <c r="C24" s="48"/>
      <c r="D24" s="48"/>
      <c r="E24" s="48"/>
      <c r="F24" s="10"/>
      <c r="G24" s="49"/>
      <c r="H24" s="49"/>
      <c r="I24" s="49"/>
      <c r="J24" s="49"/>
      <c r="K24" s="50"/>
      <c r="L24" s="10"/>
      <c r="M24" s="27"/>
      <c r="N24" s="52"/>
    </row>
    <row r="25" spans="1:20" x14ac:dyDescent="0.35">
      <c r="B25" s="27" t="s">
        <v>22</v>
      </c>
      <c r="C25" s="48"/>
      <c r="D25" s="48"/>
      <c r="E25" s="48"/>
      <c r="F25" s="10"/>
      <c r="G25" s="55"/>
      <c r="H25" s="55"/>
      <c r="I25" s="55"/>
      <c r="J25" s="49"/>
      <c r="K25" s="50"/>
      <c r="L25" s="10"/>
      <c r="M25" s="27"/>
      <c r="N25" s="52"/>
    </row>
    <row r="26" spans="1:20" x14ac:dyDescent="0.35">
      <c r="B26" s="10" t="s">
        <v>23</v>
      </c>
      <c r="C26" s="56">
        <v>10.02</v>
      </c>
      <c r="D26" s="56">
        <f t="shared" ref="D26:D29" si="7">D32/D14</f>
        <v>9.8120624311154803</v>
      </c>
      <c r="E26" s="56"/>
      <c r="F26" s="57"/>
      <c r="G26" s="56">
        <v>11</v>
      </c>
      <c r="H26" s="56">
        <v>11</v>
      </c>
      <c r="I26" s="56">
        <v>11</v>
      </c>
      <c r="J26" s="56">
        <v>11</v>
      </c>
      <c r="K26" s="58">
        <f>AVERAGE(G26:J26)</f>
        <v>11</v>
      </c>
      <c r="L26" s="10"/>
      <c r="M26" s="59"/>
      <c r="N26" s="52"/>
      <c r="O26" s="60"/>
    </row>
    <row r="27" spans="1:20" x14ac:dyDescent="0.35">
      <c r="B27" s="10" t="s">
        <v>18</v>
      </c>
      <c r="C27" s="56">
        <v>16.03</v>
      </c>
      <c r="D27" s="56">
        <f>D33/D15</f>
        <v>13.018171152213892</v>
      </c>
      <c r="E27" s="56"/>
      <c r="F27" s="57"/>
      <c r="G27" s="56">
        <v>15.2</v>
      </c>
      <c r="H27" s="56">
        <v>15.2</v>
      </c>
      <c r="I27" s="56">
        <v>15.2</v>
      </c>
      <c r="J27" s="56">
        <v>15.2</v>
      </c>
      <c r="K27" s="58">
        <f t="shared" ref="K27:K29" si="8">AVERAGE(G27:J27)</f>
        <v>15.2</v>
      </c>
      <c r="L27" s="10"/>
      <c r="M27" s="59"/>
      <c r="N27" s="10"/>
      <c r="O27" s="61"/>
      <c r="P27" s="6"/>
      <c r="Q27" s="6"/>
      <c r="R27" s="6"/>
      <c r="S27" s="6"/>
      <c r="T27" s="6"/>
    </row>
    <row r="28" spans="1:20" x14ac:dyDescent="0.35">
      <c r="B28" s="10" t="s">
        <v>19</v>
      </c>
      <c r="C28" s="56">
        <v>12.26</v>
      </c>
      <c r="D28" s="56">
        <f t="shared" si="7"/>
        <v>12.007060874622486</v>
      </c>
      <c r="E28" s="56"/>
      <c r="F28" s="57"/>
      <c r="G28" s="56">
        <v>12.8</v>
      </c>
      <c r="H28" s="56">
        <v>12.8</v>
      </c>
      <c r="I28" s="56">
        <v>12.8</v>
      </c>
      <c r="J28" s="56">
        <v>12.8</v>
      </c>
      <c r="K28" s="58">
        <f t="shared" si="8"/>
        <v>12.8</v>
      </c>
      <c r="L28" s="10"/>
      <c r="M28" s="59"/>
      <c r="N28" s="10"/>
      <c r="O28" s="61"/>
      <c r="P28" s="6"/>
      <c r="Q28" s="6"/>
      <c r="R28" s="6"/>
      <c r="S28" s="6"/>
      <c r="T28" s="6"/>
    </row>
    <row r="29" spans="1:20" x14ac:dyDescent="0.35">
      <c r="B29" s="10" t="s">
        <v>20</v>
      </c>
      <c r="C29" s="56">
        <v>12.6</v>
      </c>
      <c r="D29" s="56">
        <f t="shared" si="7"/>
        <v>11.975588546536716</v>
      </c>
      <c r="E29" s="56"/>
      <c r="F29" s="57"/>
      <c r="G29" s="56">
        <v>12.8</v>
      </c>
      <c r="H29" s="56">
        <v>12.8</v>
      </c>
      <c r="I29" s="56">
        <v>12.8</v>
      </c>
      <c r="J29" s="56">
        <v>12.8</v>
      </c>
      <c r="K29" s="58">
        <f t="shared" si="8"/>
        <v>12.8</v>
      </c>
      <c r="L29" s="10"/>
      <c r="M29" s="59"/>
      <c r="N29" s="10"/>
      <c r="O29" s="61"/>
      <c r="P29" s="6"/>
      <c r="Q29" s="6"/>
      <c r="R29" s="6"/>
      <c r="S29" s="6"/>
      <c r="T29" s="6"/>
    </row>
    <row r="30" spans="1:20" x14ac:dyDescent="0.35">
      <c r="B30" s="10"/>
      <c r="C30" s="62"/>
      <c r="D30" s="62"/>
      <c r="E30" s="62"/>
      <c r="F30" s="10"/>
      <c r="G30" s="62"/>
      <c r="H30" s="62"/>
      <c r="I30" s="62"/>
      <c r="J30" s="62"/>
      <c r="K30" s="63"/>
      <c r="L30" s="10"/>
      <c r="M30" s="59"/>
      <c r="N30" s="10"/>
      <c r="O30" s="61"/>
      <c r="Q30" s="6"/>
    </row>
    <row r="31" spans="1:20" x14ac:dyDescent="0.35">
      <c r="B31" s="27" t="s">
        <v>24</v>
      </c>
      <c r="C31" s="38"/>
      <c r="D31" s="38"/>
      <c r="E31" s="38"/>
      <c r="F31" s="10"/>
      <c r="G31" s="10"/>
      <c r="H31" s="10"/>
      <c r="I31" s="10"/>
      <c r="J31" s="38"/>
      <c r="K31" s="27"/>
      <c r="L31" s="10"/>
      <c r="M31" s="27"/>
      <c r="N31" s="10"/>
      <c r="O31" s="5"/>
      <c r="P31" s="6"/>
      <c r="Q31" s="6"/>
      <c r="R31" s="6"/>
      <c r="S31" s="6"/>
      <c r="T31" s="6"/>
    </row>
    <row r="32" spans="1:20" x14ac:dyDescent="0.35">
      <c r="A32" s="64"/>
      <c r="B32" s="64" t="s">
        <v>17</v>
      </c>
      <c r="C32" s="65">
        <f>C14*C26</f>
        <v>39139.522799999999</v>
      </c>
      <c r="D32" s="65">
        <v>145718.939164496</v>
      </c>
      <c r="E32" s="66">
        <f>C32/D32-1</f>
        <v>-0.73140400949654849</v>
      </c>
      <c r="F32" s="67"/>
      <c r="G32" s="65">
        <f>G14*G26</f>
        <v>21308.31502769416</v>
      </c>
      <c r="H32" s="65">
        <f>H14*H26</f>
        <v>20364.309434087565</v>
      </c>
      <c r="I32" s="65">
        <f>I14*I26</f>
        <v>21010.397355933612</v>
      </c>
      <c r="J32" s="65">
        <f t="shared" ref="H32:M35" si="9">J14*J26</f>
        <v>21466.982562740421</v>
      </c>
      <c r="K32" s="68">
        <f>K14*K26</f>
        <v>84149.999994851998</v>
      </c>
      <c r="L32" s="10"/>
      <c r="M32" s="69">
        <f>K32/C32-1</f>
        <v>1.1500006636476416</v>
      </c>
      <c r="N32" s="10"/>
    </row>
    <row r="33" spans="2:18" x14ac:dyDescent="0.35">
      <c r="B33" s="27" t="s">
        <v>18</v>
      </c>
      <c r="C33" s="39">
        <f>C15*C27</f>
        <v>13438.910800000001</v>
      </c>
      <c r="D33" s="39">
        <v>92025.451874999999</v>
      </c>
      <c r="E33" s="70">
        <f>C33/D33-1</f>
        <v>-0.85396528323213949</v>
      </c>
      <c r="F33" s="67"/>
      <c r="G33" s="39">
        <f>G15*G27</f>
        <v>27930.979216716893</v>
      </c>
      <c r="H33" s="39">
        <f>H15*H27</f>
        <v>33370.932970084556</v>
      </c>
      <c r="I33" s="39">
        <f t="shared" si="9"/>
        <v>34825.5914326852</v>
      </c>
      <c r="J33" s="39">
        <f t="shared" si="9"/>
        <v>33072.536030787647</v>
      </c>
      <c r="K33" s="71">
        <f>K15*K27</f>
        <v>129199.999992096</v>
      </c>
      <c r="L33" s="10"/>
      <c r="M33" s="72">
        <f>K33/C33-1</f>
        <v>8.6138743619085538</v>
      </c>
      <c r="N33" s="10"/>
      <c r="Q33" s="6"/>
    </row>
    <row r="34" spans="2:18" x14ac:dyDescent="0.35">
      <c r="B34" s="27" t="s">
        <v>19</v>
      </c>
      <c r="C34" s="39">
        <f>C16*C28</f>
        <v>36428.628400000001</v>
      </c>
      <c r="D34" s="39">
        <v>105061.78265294676</v>
      </c>
      <c r="E34" s="70">
        <f>C34/D34-1</f>
        <v>-0.65326470310963969</v>
      </c>
      <c r="F34" s="67"/>
      <c r="G34" s="39">
        <f>G16*G28</f>
        <v>14639.231863298739</v>
      </c>
      <c r="H34" s="39">
        <f t="shared" si="9"/>
        <v>9117.6058805291905</v>
      </c>
      <c r="I34" s="39">
        <f t="shared" si="9"/>
        <v>15381.621663721111</v>
      </c>
      <c r="J34" s="39">
        <f t="shared" si="9"/>
        <v>15261.499509111351</v>
      </c>
      <c r="K34" s="71">
        <f t="shared" si="9"/>
        <v>54399.999996672006</v>
      </c>
      <c r="L34" s="10"/>
      <c r="M34" s="72">
        <f>K34/C34-1</f>
        <v>0.49333099778942002</v>
      </c>
      <c r="N34" s="10"/>
    </row>
    <row r="35" spans="2:18" x14ac:dyDescent="0.35">
      <c r="B35" s="27" t="s">
        <v>20</v>
      </c>
      <c r="C35" s="39">
        <f>C17*C29</f>
        <v>124247.592</v>
      </c>
      <c r="D35" s="39">
        <v>104786.39978219627</v>
      </c>
      <c r="E35" s="70">
        <f>C35/D35-1</f>
        <v>0.18572250080406216</v>
      </c>
      <c r="F35" s="67"/>
      <c r="G35" s="39">
        <f>G17*G29</f>
        <v>72942.616176739088</v>
      </c>
      <c r="H35" s="39">
        <f t="shared" si="9"/>
        <v>58624.671155846263</v>
      </c>
      <c r="I35" s="39">
        <f t="shared" si="9"/>
        <v>63300.670411108891</v>
      </c>
      <c r="J35" s="39">
        <f t="shared" si="9"/>
        <v>88012.072671136935</v>
      </c>
      <c r="K35" s="71">
        <f>K17*K29</f>
        <v>282879.9999826944</v>
      </c>
      <c r="L35" s="10"/>
      <c r="M35" s="72">
        <f>K35/C35-1</f>
        <v>1.276744325014318</v>
      </c>
      <c r="N35" s="10"/>
    </row>
    <row r="36" spans="2:18" x14ac:dyDescent="0.35">
      <c r="B36" s="10"/>
      <c r="C36" s="38"/>
      <c r="D36" s="38"/>
      <c r="E36" s="38"/>
      <c r="F36" s="10"/>
      <c r="G36" s="10"/>
      <c r="H36" s="10"/>
      <c r="I36" s="10"/>
      <c r="J36" s="38"/>
      <c r="K36" s="27"/>
      <c r="L36" s="10"/>
      <c r="M36" s="27"/>
      <c r="N36" s="10"/>
    </row>
    <row r="37" spans="2:18" ht="12" thickBot="1" x14ac:dyDescent="0.4">
      <c r="B37" s="73" t="s">
        <v>25</v>
      </c>
      <c r="C37" s="74">
        <f>SUM(C32:C35)</f>
        <v>213254.65400000001</v>
      </c>
      <c r="D37" s="74">
        <f>SUM(D32:D35)</f>
        <v>447592.57347463904</v>
      </c>
      <c r="E37" s="75">
        <f>C37/D37-1</f>
        <v>-0.52355184907445029</v>
      </c>
      <c r="F37" s="76"/>
      <c r="G37" s="74">
        <f>SUM(G32:G35)</f>
        <v>136821.14228444887</v>
      </c>
      <c r="H37" s="74">
        <f t="shared" ref="H37:J37" si="10">SUM(H32:H35)</f>
        <v>121477.51944054758</v>
      </c>
      <c r="I37" s="74">
        <f t="shared" si="10"/>
        <v>134518.2808634488</v>
      </c>
      <c r="J37" s="74">
        <f t="shared" si="10"/>
        <v>157813.09077377635</v>
      </c>
      <c r="K37" s="77">
        <f>SUM(K32:K35)</f>
        <v>550629.99996631441</v>
      </c>
      <c r="L37" s="10"/>
      <c r="M37" s="78">
        <f>K37/C37-1</f>
        <v>1.5820304018608398</v>
      </c>
      <c r="N37" s="10"/>
      <c r="O37" s="61" t="s">
        <v>26</v>
      </c>
    </row>
    <row r="38" spans="2:18" x14ac:dyDescent="0.35">
      <c r="B38" s="10"/>
      <c r="C38" s="52"/>
      <c r="D38" s="10"/>
      <c r="E38" s="10"/>
      <c r="F38" s="10"/>
      <c r="G38" s="10"/>
      <c r="H38" s="10"/>
      <c r="I38" s="10"/>
      <c r="J38" s="10"/>
      <c r="K38" s="27"/>
      <c r="L38" s="10"/>
      <c r="M38" s="27"/>
      <c r="N38" s="10"/>
    </row>
    <row r="39" spans="2:18" x14ac:dyDescent="0.35">
      <c r="C39" s="79"/>
      <c r="J39" s="79"/>
      <c r="K39" s="80"/>
    </row>
    <row r="40" spans="2:18" x14ac:dyDescent="0.35">
      <c r="C40" s="9"/>
    </row>
    <row r="41" spans="2:18" ht="14.25" x14ac:dyDescent="0.45">
      <c r="C41" s="6"/>
      <c r="G41" s="81" t="s">
        <v>27</v>
      </c>
      <c r="H41" s="82"/>
      <c r="I41" s="83"/>
      <c r="J41" s="82"/>
      <c r="K41" s="82"/>
      <c r="L41" s="82"/>
      <c r="M41" s="82"/>
      <c r="N41" s="82"/>
      <c r="O41" s="82"/>
      <c r="P41" s="82"/>
      <c r="Q41" s="82"/>
      <c r="R41" s="82"/>
    </row>
    <row r="42" spans="2:18" ht="14.25" x14ac:dyDescent="0.45">
      <c r="C42" s="9"/>
      <c r="D42" s="9"/>
      <c r="G42" s="82" t="s">
        <v>28</v>
      </c>
      <c r="H42" s="82"/>
      <c r="I42" s="83"/>
      <c r="J42" s="82"/>
      <c r="K42" s="82"/>
      <c r="L42" s="82"/>
      <c r="M42" s="82"/>
      <c r="N42" s="82"/>
      <c r="O42" s="82"/>
      <c r="P42" s="82"/>
      <c r="Q42" s="82"/>
      <c r="R42" s="82"/>
    </row>
    <row r="43" spans="2:18" ht="14.25" x14ac:dyDescent="0.45">
      <c r="C43" s="84"/>
      <c r="D43" s="6"/>
      <c r="E43" s="6"/>
      <c r="G43" s="81" t="s">
        <v>29</v>
      </c>
      <c r="H43" s="82"/>
      <c r="I43" s="83"/>
      <c r="J43" s="82"/>
      <c r="K43" s="82"/>
      <c r="L43" s="82"/>
      <c r="M43" s="82"/>
      <c r="N43" s="85">
        <f>VLOOKUP($H$7,$G44:$N46,COLUMNS($G44:N46),FALSE)</f>
        <v>0.64393939389999999</v>
      </c>
      <c r="O43" s="86"/>
      <c r="P43" s="86"/>
      <c r="Q43" s="86"/>
      <c r="R43" s="86"/>
    </row>
    <row r="44" spans="2:18" ht="14.25" x14ac:dyDescent="0.45">
      <c r="C44" s="9"/>
      <c r="D44" s="6"/>
      <c r="E44" s="6"/>
      <c r="G44" s="82" t="s">
        <v>30</v>
      </c>
      <c r="H44" s="87"/>
      <c r="I44" s="88"/>
      <c r="J44" s="87"/>
      <c r="K44" s="82"/>
      <c r="L44" s="82"/>
      <c r="M44" s="82"/>
      <c r="N44" s="89">
        <v>1</v>
      </c>
      <c r="O44" s="89"/>
      <c r="P44" s="89"/>
      <c r="Q44" s="89"/>
      <c r="R44" s="89"/>
    </row>
    <row r="45" spans="2:18" ht="14.25" x14ac:dyDescent="0.45">
      <c r="C45" s="9"/>
      <c r="D45" s="60"/>
      <c r="E45" s="6"/>
      <c r="G45" s="82" t="s">
        <v>31</v>
      </c>
      <c r="H45" s="87"/>
      <c r="I45" s="88"/>
      <c r="J45" s="87"/>
      <c r="K45" s="82"/>
      <c r="L45" s="82"/>
      <c r="M45" s="82"/>
      <c r="N45" s="89">
        <v>0.85606060610000001</v>
      </c>
      <c r="O45" s="89"/>
      <c r="P45" s="89"/>
      <c r="Q45" s="89"/>
      <c r="R45" s="89"/>
    </row>
    <row r="46" spans="2:18" ht="14.25" x14ac:dyDescent="0.45">
      <c r="D46" s="60"/>
      <c r="E46" s="6"/>
      <c r="G46" s="82" t="s">
        <v>3</v>
      </c>
      <c r="H46" s="87"/>
      <c r="I46" s="88"/>
      <c r="J46" s="87"/>
      <c r="K46" s="82"/>
      <c r="L46" s="82"/>
      <c r="M46" s="82"/>
      <c r="N46" s="89">
        <v>0.64393939389999999</v>
      </c>
      <c r="O46" s="89"/>
      <c r="P46" s="89"/>
      <c r="Q46" s="89"/>
      <c r="R46" s="89"/>
    </row>
  </sheetData>
  <mergeCells count="4">
    <mergeCell ref="C3:J3"/>
    <mergeCell ref="B4:M4"/>
    <mergeCell ref="C10:E10"/>
    <mergeCell ref="G10:M10"/>
  </mergeCells>
  <dataValidations count="1">
    <dataValidation type="list" allowBlank="1" showInputMessage="1" showErrorMessage="1" sqref="H7" xr:uid="{3EDA840F-BE3A-4EBA-A27C-2D2691EC7F70}">
      <formula1>$G$44:$G$46</formula1>
    </dataValidation>
  </dataValidations>
  <pageMargins left="0.17" right="0.17" top="1" bottom="0.72" header="0.5" footer="0.5"/>
  <pageSetup paperSize="7" scale="93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F2F00-9CA6-4CC6-8E18-7EEFC0025DDD}">
  <dimension ref="B2:T49"/>
  <sheetViews>
    <sheetView showGridLines="0" topLeftCell="A4" zoomScale="88" zoomScaleNormal="70" workbookViewId="0">
      <pane xSplit="2" topLeftCell="C1" activePane="topRight" state="frozen"/>
      <selection activeCell="B15" sqref="B15"/>
      <selection pane="topRight" activeCell="B15" sqref="B15"/>
    </sheetView>
  </sheetViews>
  <sheetFormatPr defaultColWidth="8.86328125" defaultRowHeight="12.75" x14ac:dyDescent="0.35"/>
  <cols>
    <col min="1" max="1" width="3.33203125" style="92" customWidth="1"/>
    <col min="2" max="2" width="49.53125" style="92" customWidth="1"/>
    <col min="3" max="3" width="21.53125" style="92" bestFit="1" customWidth="1"/>
    <col min="4" max="4" width="19.19921875" style="92" customWidth="1"/>
    <col min="5" max="5" width="15.1328125" style="92" customWidth="1"/>
    <col min="6" max="6" width="6.53125" style="92" bestFit="1" customWidth="1"/>
    <col min="7" max="11" width="17.33203125" style="92" customWidth="1"/>
    <col min="12" max="12" width="12.19921875" style="92" customWidth="1"/>
    <col min="13" max="13" width="17.33203125" style="92" customWidth="1"/>
    <col min="14" max="14" width="8.86328125" style="92"/>
    <col min="15" max="15" width="19.53125" style="92" customWidth="1"/>
    <col min="16" max="16" width="19.46484375" style="92" customWidth="1"/>
    <col min="17" max="17" width="20.33203125" style="92" customWidth="1"/>
    <col min="18" max="18" width="15.19921875" style="92" customWidth="1"/>
    <col min="19" max="19" width="17" style="92" customWidth="1"/>
    <col min="20" max="20" width="16.796875" style="92" customWidth="1"/>
    <col min="21" max="16384" width="8.86328125" style="92"/>
  </cols>
  <sheetData>
    <row r="2" spans="2:17" ht="15" x14ac:dyDescent="0.4">
      <c r="B2" s="90" t="s">
        <v>0</v>
      </c>
      <c r="C2" s="90"/>
      <c r="D2" s="90"/>
      <c r="E2" s="90"/>
      <c r="F2" s="90"/>
      <c r="G2" s="90"/>
      <c r="H2" s="90"/>
      <c r="I2" s="90"/>
      <c r="J2" s="91"/>
      <c r="K2" s="91"/>
      <c r="L2" s="91"/>
      <c r="M2" s="91"/>
    </row>
    <row r="3" spans="2:17" ht="13.15" x14ac:dyDescent="0.4">
      <c r="B3" s="91" t="s">
        <v>32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</row>
    <row r="4" spans="2:17" ht="13.15" x14ac:dyDescent="0.4">
      <c r="B4" s="93"/>
      <c r="C4" s="94"/>
      <c r="D4" s="94"/>
      <c r="E4" s="94"/>
      <c r="F4" s="93"/>
      <c r="G4" s="93"/>
      <c r="H4" s="93"/>
      <c r="I4" s="93"/>
      <c r="J4" s="93"/>
      <c r="K4" s="93"/>
    </row>
    <row r="5" spans="2:17" ht="13.15" x14ac:dyDescent="0.4">
      <c r="B5" s="93"/>
      <c r="C5" s="95" t="s">
        <v>4</v>
      </c>
      <c r="D5" s="95"/>
      <c r="E5" s="95"/>
      <c r="F5" s="96"/>
      <c r="G5" s="97" t="s">
        <v>33</v>
      </c>
      <c r="H5" s="97"/>
      <c r="I5" s="97"/>
      <c r="J5" s="97"/>
      <c r="K5" s="97"/>
      <c r="L5" s="97"/>
      <c r="M5" s="97"/>
    </row>
    <row r="6" spans="2:17" ht="13.5" thickBot="1" x14ac:dyDescent="0.45">
      <c r="B6" s="98" t="s">
        <v>6</v>
      </c>
      <c r="C6" s="99" t="s">
        <v>34</v>
      </c>
      <c r="D6" s="99" t="s">
        <v>8</v>
      </c>
      <c r="E6" s="99" t="s">
        <v>9</v>
      </c>
      <c r="F6" s="96"/>
      <c r="G6" s="100" t="s">
        <v>10</v>
      </c>
      <c r="H6" s="100" t="s">
        <v>11</v>
      </c>
      <c r="I6" s="100" t="s">
        <v>12</v>
      </c>
      <c r="J6" s="100" t="s">
        <v>13</v>
      </c>
      <c r="K6" s="100" t="s">
        <v>14</v>
      </c>
      <c r="L6" s="101"/>
      <c r="M6" s="102" t="s">
        <v>15</v>
      </c>
      <c r="P6" s="103"/>
    </row>
    <row r="7" spans="2:17" x14ac:dyDescent="0.35">
      <c r="B7" s="104" t="s">
        <v>35</v>
      </c>
      <c r="C7" s="93"/>
      <c r="D7" s="93"/>
      <c r="E7" s="105"/>
      <c r="F7" s="93"/>
      <c r="G7" s="106"/>
      <c r="H7" s="93"/>
      <c r="I7" s="93"/>
      <c r="J7" s="93"/>
      <c r="K7" s="93"/>
      <c r="P7" s="103"/>
    </row>
    <row r="8" spans="2:17" ht="13.15" x14ac:dyDescent="0.4">
      <c r="B8" s="93" t="s">
        <v>36</v>
      </c>
      <c r="C8" s="107">
        <f>'SALES BUDGET'!C14</f>
        <v>3906.14</v>
      </c>
      <c r="D8" s="108">
        <v>14851</v>
      </c>
      <c r="E8" s="109">
        <f>C8/D8-1</f>
        <v>-0.73697798128072178</v>
      </c>
      <c r="F8" s="110"/>
      <c r="G8" s="111">
        <f>+'SALES BUDGET'!G14</f>
        <v>1937.1195479721964</v>
      </c>
      <c r="H8" s="111">
        <f>+'SALES BUDGET'!H14</f>
        <v>1851.3008576443242</v>
      </c>
      <c r="I8" s="111">
        <f>+'SALES BUDGET'!I14</f>
        <v>1910.0361232666919</v>
      </c>
      <c r="J8" s="111">
        <f>+'SALES BUDGET'!J14</f>
        <v>1951.5438693400381</v>
      </c>
      <c r="K8" s="112">
        <f>+'SALES BUDGET'!K14</f>
        <v>7649.9999995319995</v>
      </c>
      <c r="M8" s="113">
        <f>K8/C8-1</f>
        <v>0.95845514997721537</v>
      </c>
    </row>
    <row r="9" spans="2:17" ht="13.15" x14ac:dyDescent="0.4">
      <c r="B9" s="93" t="s">
        <v>37</v>
      </c>
      <c r="C9" s="107">
        <f>'SALES BUDGET'!C15</f>
        <v>838.36</v>
      </c>
      <c r="D9" s="114">
        <v>7069</v>
      </c>
      <c r="E9" s="109">
        <f>C9/D9-1</f>
        <v>-0.88140331022775498</v>
      </c>
      <c r="F9" s="110"/>
      <c r="G9" s="111">
        <f>+'SALES BUDGET'!G15</f>
        <v>1837.5644221524271</v>
      </c>
      <c r="H9" s="111">
        <f>+'SALES BUDGET'!H15</f>
        <v>2195.4561164529314</v>
      </c>
      <c r="I9" s="111">
        <f>+'SALES BUDGET'!I15</f>
        <v>2291.1573310977105</v>
      </c>
      <c r="J9" s="111">
        <f>+'SALES BUDGET'!J15</f>
        <v>2175.8247388676086</v>
      </c>
      <c r="K9" s="112">
        <f>+'SALES BUDGET'!K15</f>
        <v>8499.99999948</v>
      </c>
      <c r="M9" s="113">
        <f>K9/C9-1</f>
        <v>9.1388425014075096</v>
      </c>
    </row>
    <row r="10" spans="2:17" ht="13.15" x14ac:dyDescent="0.4">
      <c r="B10" s="93" t="s">
        <v>38</v>
      </c>
      <c r="C10" s="107">
        <f>'SALES BUDGET'!C16</f>
        <v>2971.34</v>
      </c>
      <c r="D10" s="114">
        <v>8750</v>
      </c>
      <c r="E10" s="109">
        <f>C10/D10-1</f>
        <v>-0.66041828571428574</v>
      </c>
      <c r="F10" s="110"/>
      <c r="G10" s="111">
        <f>+'SALES BUDGET'!G16</f>
        <v>1143.689989320214</v>
      </c>
      <c r="H10" s="111">
        <f>+'SALES BUDGET'!H16</f>
        <v>712.31295941634301</v>
      </c>
      <c r="I10" s="111">
        <f>+'SALES BUDGET'!I16</f>
        <v>1201.6891924782117</v>
      </c>
      <c r="J10" s="111">
        <f>+'SALES BUDGET'!J16</f>
        <v>1192.3046491493242</v>
      </c>
      <c r="K10" s="112">
        <f>+'SALES BUDGET'!K16</f>
        <v>4249.99999974</v>
      </c>
      <c r="M10" s="113">
        <f>K10/C10-1</f>
        <v>0.43033109632017874</v>
      </c>
    </row>
    <row r="11" spans="2:17" ht="13.15" x14ac:dyDescent="0.4">
      <c r="B11" s="93" t="s">
        <v>39</v>
      </c>
      <c r="C11" s="107">
        <f>'SALES BUDGET'!C17</f>
        <v>9860.92</v>
      </c>
      <c r="D11" s="114">
        <v>8750</v>
      </c>
      <c r="E11" s="109">
        <f>C11/D11-1</f>
        <v>0.12696228571428581</v>
      </c>
      <c r="F11" s="110"/>
      <c r="G11" s="111">
        <f>+'SALES BUDGET'!G17</f>
        <v>5698.6418888077405</v>
      </c>
      <c r="H11" s="111">
        <f>+'SALES BUDGET'!H17</f>
        <v>4580.052434050489</v>
      </c>
      <c r="I11" s="111">
        <f>+'SALES BUDGET'!I17</f>
        <v>4945.3648758678819</v>
      </c>
      <c r="J11" s="111">
        <f>+'SALES BUDGET'!J17</f>
        <v>6875.9431774325731</v>
      </c>
      <c r="K11" s="112">
        <f>+'SALES BUDGET'!K17</f>
        <v>22099.999998648</v>
      </c>
      <c r="M11" s="113">
        <f>K11/C11-1</f>
        <v>1.2411701949359695</v>
      </c>
    </row>
    <row r="12" spans="2:17" ht="13.5" customHeight="1" x14ac:dyDescent="0.35">
      <c r="B12" s="93"/>
      <c r="C12" s="115"/>
      <c r="D12" s="116"/>
      <c r="E12" s="105"/>
      <c r="F12" s="93"/>
      <c r="G12" s="106"/>
      <c r="H12" s="93"/>
      <c r="I12" s="93"/>
      <c r="J12" s="93"/>
      <c r="K12" s="117"/>
      <c r="O12" s="103"/>
    </row>
    <row r="13" spans="2:17" x14ac:dyDescent="0.35">
      <c r="B13" s="104" t="s">
        <v>40</v>
      </c>
      <c r="C13" s="115"/>
      <c r="D13" s="93"/>
      <c r="E13" s="105"/>
      <c r="F13" s="93"/>
      <c r="G13" s="106"/>
      <c r="H13" s="93"/>
      <c r="I13" s="93"/>
      <c r="J13" s="93"/>
      <c r="K13" s="93"/>
      <c r="O13" s="118"/>
      <c r="P13" s="118"/>
    </row>
    <row r="14" spans="2:17" s="123" customFormat="1" ht="13.15" x14ac:dyDescent="0.4">
      <c r="B14" s="119" t="s">
        <v>41</v>
      </c>
      <c r="C14" s="120">
        <v>14.04</v>
      </c>
      <c r="D14" s="121">
        <v>53.4277934931225</v>
      </c>
      <c r="E14" s="122">
        <f t="shared" ref="E14:E21" si="0">C14/D14-1</f>
        <v>-0.73721542511750371</v>
      </c>
      <c r="G14" s="124">
        <f>G8*[1]ASSUMPTIONS!$N$56</f>
        <v>6.9600611777986616</v>
      </c>
      <c r="H14" s="124">
        <f>H8*[1]ASSUMPTIONS!$N$56</f>
        <v>6.6517150380336609</v>
      </c>
      <c r="I14" s="124">
        <f>I8*[1]ASSUMPTIONS!$N$56</f>
        <v>6.862750563669584</v>
      </c>
      <c r="J14" s="124">
        <f>J8*[1]ASSUMPTIONS!$N$56</f>
        <v>7.0118876947906044</v>
      </c>
      <c r="K14" s="125">
        <f>SUM(G14:J14)</f>
        <v>27.486414474292513</v>
      </c>
      <c r="M14" s="126">
        <f>K14/C14-1</f>
        <v>0.9577218286533129</v>
      </c>
      <c r="N14" s="92"/>
      <c r="O14" s="92"/>
      <c r="P14" s="127"/>
      <c r="Q14" s="92"/>
    </row>
    <row r="15" spans="2:17" s="123" customFormat="1" ht="13.15" x14ac:dyDescent="0.4">
      <c r="B15" s="119" t="s">
        <v>42</v>
      </c>
      <c r="C15" s="120">
        <v>10.01</v>
      </c>
      <c r="D15" s="121">
        <v>38.040266845469148</v>
      </c>
      <c r="E15" s="122">
        <f t="shared" si="0"/>
        <v>-0.73685778702174742</v>
      </c>
      <c r="G15" s="124">
        <f>G8*[1]ASSUMPTIONS!$N$57</f>
        <v>3.5825793894461633</v>
      </c>
      <c r="H15" s="124">
        <f>H8*[1]ASSUMPTIONS!$N$57</f>
        <v>3.4238631803615234</v>
      </c>
      <c r="I15" s="124">
        <f>I8*[1]ASSUMPTIONS!$N$57</f>
        <v>3.5324903181510394</v>
      </c>
      <c r="J15" s="124">
        <f>J8*[1]ASSUMPTIONS!$N$57</f>
        <v>3.609256254326946</v>
      </c>
      <c r="K15" s="125">
        <f>SUM(G15:J15)</f>
        <v>14.148189142285672</v>
      </c>
      <c r="M15" s="126">
        <f t="shared" ref="M15:M21" si="1">K15/C15-1</f>
        <v>0.41340550871984738</v>
      </c>
      <c r="N15" s="103"/>
      <c r="O15" s="128"/>
      <c r="P15" s="129"/>
      <c r="Q15" s="103"/>
    </row>
    <row r="16" spans="2:17" s="123" customFormat="1" ht="13.15" x14ac:dyDescent="0.4">
      <c r="B16" s="119" t="s">
        <v>43</v>
      </c>
      <c r="C16" s="120">
        <v>1834.46</v>
      </c>
      <c r="D16" s="121">
        <v>6978.4449592336796</v>
      </c>
      <c r="E16" s="122">
        <f t="shared" si="0"/>
        <v>-0.73712481638582039</v>
      </c>
      <c r="G16" s="130">
        <f>G8*[1]ASSUMPTIONS!$N$55</f>
        <v>764.30517862163333</v>
      </c>
      <c r="H16" s="130">
        <f>H8*[1]ASSUMPTIONS!$N$55</f>
        <v>730.44476483933408</v>
      </c>
      <c r="I16" s="130">
        <f>I8*[1]ASSUMPTIONS!$N$55</f>
        <v>753.61920842485574</v>
      </c>
      <c r="J16" s="130">
        <f>J8*[1]ASSUMPTIONS!$N$55</f>
        <v>769.9964037868973</v>
      </c>
      <c r="K16" s="125">
        <f>SUM(G16:J16)</f>
        <v>3018.3655556727203</v>
      </c>
      <c r="M16" s="126">
        <f t="shared" si="1"/>
        <v>0.64537005749524123</v>
      </c>
      <c r="N16" s="103"/>
      <c r="O16" s="128"/>
      <c r="P16" s="129"/>
      <c r="Q16" s="92"/>
    </row>
    <row r="17" spans="2:20" s="123" customFormat="1" ht="13.15" x14ac:dyDescent="0.4">
      <c r="B17" s="119" t="s">
        <v>44</v>
      </c>
      <c r="C17" s="120">
        <v>56.58</v>
      </c>
      <c r="D17" s="121">
        <v>477.31815999999998</v>
      </c>
      <c r="E17" s="122">
        <f t="shared" si="0"/>
        <v>-0.88146271241806518</v>
      </c>
      <c r="G17" s="131">
        <f>G9*[1]ASSUMPTIONS!$N$65</f>
        <v>43.926028296352008</v>
      </c>
      <c r="H17" s="131">
        <f>H9*[1]ASSUMPTIONS!$N$65</f>
        <v>52.481244375502492</v>
      </c>
      <c r="I17" s="131">
        <f>I9*[1]ASSUMPTIONS!$N$65</f>
        <v>54.768932476014221</v>
      </c>
      <c r="J17" s="131">
        <f>J9*[1]ASSUMPTIONS!$N$65</f>
        <v>52.011966435140991</v>
      </c>
      <c r="K17" s="125">
        <f t="shared" ref="K17" si="2">SUM(G17:J17)</f>
        <v>203.18817158300971</v>
      </c>
      <c r="M17" s="126">
        <f t="shared" si="1"/>
        <v>2.5911659876813311</v>
      </c>
      <c r="N17" s="92"/>
      <c r="O17" s="128"/>
      <c r="P17" s="129"/>
      <c r="Q17" s="92"/>
    </row>
    <row r="18" spans="2:20" s="123" customFormat="1" ht="13.15" x14ac:dyDescent="0.4">
      <c r="B18" s="119" t="s">
        <v>45</v>
      </c>
      <c r="C18" s="120">
        <v>5.17</v>
      </c>
      <c r="D18" s="121">
        <v>43.605899999999998</v>
      </c>
      <c r="E18" s="122">
        <f t="shared" si="0"/>
        <v>-0.88143806228056298</v>
      </c>
      <c r="G18" s="131">
        <f>G9*[1]ASSUMPTIONS!$N$64</f>
        <v>4.0265525938322675</v>
      </c>
      <c r="H18" s="131">
        <f>H9*[1]ASSUMPTIONS!$N$64</f>
        <v>4.8107807344210611</v>
      </c>
      <c r="I18" s="131">
        <f>I9*[1]ASSUMPTIONS!$N$64</f>
        <v>5.0204854769679699</v>
      </c>
      <c r="J18" s="131">
        <f>J9*[1]ASSUMPTIONS!$N$64</f>
        <v>4.7677635898879238</v>
      </c>
      <c r="K18" s="125">
        <f>SUM(G18:J18)</f>
        <v>18.625582395109223</v>
      </c>
      <c r="M18" s="126">
        <f t="shared" si="1"/>
        <v>2.6026271557271223</v>
      </c>
      <c r="N18" s="92"/>
      <c r="O18" s="92"/>
      <c r="P18" s="129"/>
      <c r="Q18" s="92"/>
    </row>
    <row r="19" spans="2:20" ht="13.15" x14ac:dyDescent="0.4">
      <c r="B19" s="132" t="s">
        <v>46</v>
      </c>
      <c r="C19" s="133">
        <f>2485.72545454545+C10</f>
        <v>5457.0654545454499</v>
      </c>
      <c r="D19" s="134">
        <v>19144.31560627314</v>
      </c>
      <c r="E19" s="109">
        <f t="shared" si="0"/>
        <v>-0.71495113396703003</v>
      </c>
      <c r="F19" s="93"/>
      <c r="G19" s="135">
        <f>G10+(G8*[1]ASSUMPTIONS!$N$58)</f>
        <v>2499.6736729007516</v>
      </c>
      <c r="H19" s="135">
        <f>H10+(H8*[1]ASSUMPTIONS!$N$58)</f>
        <v>2008.2235597673698</v>
      </c>
      <c r="I19" s="135">
        <f>I10+(I8*[1]ASSUMPTIONS!$N$58)</f>
        <v>2538.7144787648958</v>
      </c>
      <c r="J19" s="135">
        <f>J10+(J8*[1]ASSUMPTIONS!$N$58)</f>
        <v>2558.3853576873507</v>
      </c>
      <c r="K19" s="136">
        <f>SUM(G19:J19)</f>
        <v>9604.9970691203671</v>
      </c>
      <c r="M19" s="113">
        <f t="shared" si="1"/>
        <v>0.7601029617703976</v>
      </c>
      <c r="O19" s="103"/>
      <c r="P19" s="103"/>
      <c r="Q19" s="103"/>
    </row>
    <row r="20" spans="2:20" ht="13.15" x14ac:dyDescent="0.4">
      <c r="B20" s="132" t="s">
        <v>47</v>
      </c>
      <c r="C20" s="133">
        <f>816.482369632999+C11</f>
        <v>10677.402369632999</v>
      </c>
      <c r="D20" s="134">
        <v>15858.749951593543</v>
      </c>
      <c r="E20" s="109">
        <f t="shared" si="0"/>
        <v>-0.32671853694495667</v>
      </c>
      <c r="F20" s="93"/>
      <c r="G20" s="135">
        <f>G11+(G9*[1]ASSUMPTIONS!$N$66)</f>
        <v>7488.2523821951572</v>
      </c>
      <c r="H20" s="135">
        <f>H11+(H9*[1]ASSUMPTIONS!$N$66)</f>
        <v>6718.2149150009591</v>
      </c>
      <c r="I20" s="135">
        <f>I11+(I9*[1]ASSUMPTIONS!$N$66)</f>
        <v>7176.7311084221219</v>
      </c>
      <c r="J20" s="135">
        <f>J11+(J9*[1]ASSUMPTIONS!$N$66)</f>
        <v>8994.9865902824586</v>
      </c>
      <c r="K20" s="136">
        <f>SUM(G20:J20)</f>
        <v>30378.184995900694</v>
      </c>
      <c r="M20" s="113">
        <f t="shared" si="1"/>
        <v>1.8450913381608234</v>
      </c>
      <c r="Q20" s="103"/>
    </row>
    <row r="21" spans="2:20" ht="13.15" x14ac:dyDescent="0.4">
      <c r="B21" s="93"/>
      <c r="C21" s="137">
        <f>SUM(C14:C20)</f>
        <v>18054.727824178448</v>
      </c>
      <c r="D21" s="138">
        <f>SUM(D14:D20)</f>
        <v>42593.90263743895</v>
      </c>
      <c r="E21" s="139">
        <f t="shared" si="0"/>
        <v>-0.57611942775328595</v>
      </c>
      <c r="F21" s="93"/>
      <c r="G21" s="140">
        <f>SUM(G14:G20)</f>
        <v>10810.726455174972</v>
      </c>
      <c r="H21" s="140">
        <f>SUM(H14:H20)</f>
        <v>9524.2508429359823</v>
      </c>
      <c r="I21" s="140">
        <f>SUM(I14:I20)</f>
        <v>10539.249454446675</v>
      </c>
      <c r="J21" s="140">
        <f>SUM(J14:J20)</f>
        <v>12390.769225730854</v>
      </c>
      <c r="K21" s="140">
        <f>SUM(K14:K20)</f>
        <v>43264.995978288476</v>
      </c>
      <c r="L21" s="141"/>
      <c r="M21" s="142">
        <f t="shared" si="1"/>
        <v>1.3963250180016038</v>
      </c>
      <c r="P21" s="103"/>
    </row>
    <row r="22" spans="2:20" x14ac:dyDescent="0.35">
      <c r="B22" s="93"/>
      <c r="C22" s="143"/>
      <c r="D22" s="93"/>
      <c r="E22" s="105"/>
      <c r="F22" s="93"/>
      <c r="G22" s="144" t="s">
        <v>48</v>
      </c>
      <c r="H22" s="144"/>
      <c r="I22" s="144"/>
      <c r="J22" s="144"/>
      <c r="K22" s="144" t="s">
        <v>48</v>
      </c>
      <c r="P22" s="145"/>
      <c r="Q22" s="145"/>
      <c r="R22" s="118"/>
      <c r="S22" s="118"/>
      <c r="T22" s="146"/>
    </row>
    <row r="23" spans="2:20" ht="13.15" x14ac:dyDescent="0.4">
      <c r="B23" s="93"/>
      <c r="C23" s="144"/>
      <c r="D23" s="93"/>
      <c r="E23" s="105"/>
      <c r="F23" s="93"/>
      <c r="G23" s="144"/>
      <c r="H23" s="93"/>
      <c r="I23" s="93"/>
      <c r="J23" s="93"/>
      <c r="K23" s="143"/>
      <c r="L23" s="103"/>
      <c r="P23" s="127"/>
      <c r="Q23" s="145"/>
      <c r="R23" s="118"/>
      <c r="S23" s="118"/>
      <c r="T23" s="146"/>
    </row>
    <row r="24" spans="2:20" ht="13.15" x14ac:dyDescent="0.4">
      <c r="B24" s="93"/>
      <c r="C24" s="143"/>
      <c r="D24" s="93"/>
      <c r="E24" s="105"/>
      <c r="F24" s="93"/>
      <c r="G24" s="147"/>
      <c r="H24" s="144"/>
      <c r="I24" s="93"/>
      <c r="J24" s="148"/>
      <c r="K24" s="93"/>
      <c r="P24" s="145"/>
      <c r="R24" s="118"/>
      <c r="S24" s="118"/>
      <c r="T24" s="146"/>
    </row>
    <row r="25" spans="2:20" ht="13.15" x14ac:dyDescent="0.4">
      <c r="B25" s="104" t="s">
        <v>49</v>
      </c>
      <c r="C25" s="93"/>
      <c r="D25" s="93"/>
      <c r="E25" s="105"/>
      <c r="F25" s="144"/>
      <c r="G25" s="93"/>
      <c r="H25" s="147"/>
      <c r="I25" s="148"/>
      <c r="J25" s="93"/>
      <c r="K25" s="93"/>
      <c r="M25" s="149"/>
      <c r="O25" s="150"/>
      <c r="P25" s="145"/>
      <c r="Q25" s="145"/>
      <c r="R25" s="118"/>
      <c r="S25" s="118"/>
      <c r="T25" s="146"/>
    </row>
    <row r="26" spans="2:20" ht="13.15" x14ac:dyDescent="0.4">
      <c r="B26" s="132" t="s">
        <v>41</v>
      </c>
      <c r="C26" s="151">
        <v>-138.43</v>
      </c>
      <c r="D26" s="152">
        <v>-123.86660000000001</v>
      </c>
      <c r="E26" s="153"/>
      <c r="F26" s="154"/>
      <c r="G26" s="155">
        <v>-78.148922743399993</v>
      </c>
      <c r="H26" s="155">
        <v>-78.148922743399993</v>
      </c>
      <c r="I26" s="155">
        <v>-78.148922743399993</v>
      </c>
      <c r="J26" s="155">
        <v>-78.148922743399993</v>
      </c>
      <c r="K26" s="156">
        <f>AVERAGE(G26:J26)</f>
        <v>-78.148922743399993</v>
      </c>
      <c r="M26" s="149"/>
      <c r="O26" s="103"/>
      <c r="P26" s="145"/>
      <c r="Q26" s="145"/>
      <c r="R26" s="118"/>
      <c r="S26" s="118"/>
      <c r="T26" s="146"/>
    </row>
    <row r="27" spans="2:20" ht="13.15" x14ac:dyDescent="0.4">
      <c r="B27" s="132" t="s">
        <v>42</v>
      </c>
      <c r="C27" s="151">
        <v>-21.3</v>
      </c>
      <c r="D27" s="157">
        <v>-13.227500000000003</v>
      </c>
      <c r="E27" s="105"/>
      <c r="F27" s="154"/>
      <c r="G27" s="155">
        <v>-16.100349999999999</v>
      </c>
      <c r="H27" s="155">
        <v>-16.100349999999999</v>
      </c>
      <c r="I27" s="155">
        <v>-16.100349999999999</v>
      </c>
      <c r="J27" s="155">
        <v>-16.100349999999999</v>
      </c>
      <c r="K27" s="156">
        <f t="shared" ref="K27:K32" si="3">AVERAGE(G27:J27)</f>
        <v>-16.100349999999999</v>
      </c>
      <c r="M27" s="149"/>
      <c r="O27" s="103"/>
      <c r="P27" s="145"/>
      <c r="Q27" s="145"/>
    </row>
    <row r="28" spans="2:20" ht="13.15" x14ac:dyDescent="0.4">
      <c r="B28" s="132" t="s">
        <v>43</v>
      </c>
      <c r="C28" s="151">
        <v>-0.32490000000000002</v>
      </c>
      <c r="D28" s="158">
        <v>-3.68654E-2</v>
      </c>
      <c r="E28" s="105"/>
      <c r="F28" s="154"/>
      <c r="G28" s="155">
        <v>-3.5000000000000003E-2</v>
      </c>
      <c r="H28" s="155">
        <v>-3.5000000000000003E-2</v>
      </c>
      <c r="I28" s="155">
        <v>-3.5000000000000003E-2</v>
      </c>
      <c r="J28" s="155">
        <v>-3.5000000000000003E-2</v>
      </c>
      <c r="K28" s="159">
        <f t="shared" si="3"/>
        <v>-3.5000000000000003E-2</v>
      </c>
      <c r="M28" s="149"/>
      <c r="O28" s="103"/>
      <c r="P28" s="145"/>
      <c r="Q28" s="145"/>
    </row>
    <row r="29" spans="2:20" ht="13.15" x14ac:dyDescent="0.4">
      <c r="B29" s="132" t="s">
        <v>44</v>
      </c>
      <c r="C29" s="151">
        <v>-72.569999999999993</v>
      </c>
      <c r="D29" s="157">
        <v>-50.739999999999995</v>
      </c>
      <c r="E29" s="160"/>
      <c r="F29" s="154"/>
      <c r="G29" s="155">
        <v>-26.884319999999999</v>
      </c>
      <c r="H29" s="155">
        <v>-26.884319999999999</v>
      </c>
      <c r="I29" s="155">
        <v>-26.884319999999999</v>
      </c>
      <c r="J29" s="155">
        <v>-26.884319999999999</v>
      </c>
      <c r="K29" s="156">
        <f t="shared" si="3"/>
        <v>-26.884319999999999</v>
      </c>
      <c r="M29" s="149"/>
      <c r="O29" s="103"/>
      <c r="P29" s="145"/>
      <c r="Q29" s="145"/>
    </row>
    <row r="30" spans="2:20" ht="13.15" x14ac:dyDescent="0.4">
      <c r="B30" s="132" t="s">
        <v>45</v>
      </c>
      <c r="C30" s="151">
        <v>-166.98</v>
      </c>
      <c r="D30" s="157">
        <v>-122.5</v>
      </c>
      <c r="E30" s="105"/>
      <c r="F30" s="154"/>
      <c r="G30" s="155">
        <v>-76.193712121199994</v>
      </c>
      <c r="H30" s="155">
        <v>-76.193712121199994</v>
      </c>
      <c r="I30" s="155">
        <v>-76.193712121199994</v>
      </c>
      <c r="J30" s="155">
        <v>-76.193712121199994</v>
      </c>
      <c r="K30" s="156">
        <f t="shared" si="3"/>
        <v>-76.193712121199994</v>
      </c>
      <c r="M30" s="149"/>
      <c r="O30" s="103"/>
      <c r="P30" s="145"/>
      <c r="Q30" s="145"/>
    </row>
    <row r="31" spans="2:20" ht="13.15" x14ac:dyDescent="0.4">
      <c r="B31" s="132" t="s">
        <v>50</v>
      </c>
      <c r="C31" s="151">
        <v>10.34</v>
      </c>
      <c r="D31" s="157">
        <v>-10.793096655133054</v>
      </c>
      <c r="E31" s="108"/>
      <c r="F31" s="154"/>
      <c r="G31" s="155">
        <v>-6.7507102999999997</v>
      </c>
      <c r="H31" s="155">
        <v>-6.7507102999999997</v>
      </c>
      <c r="I31" s="155">
        <v>-6.7507102999999997</v>
      </c>
      <c r="J31" s="155">
        <v>-6.7507102999999997</v>
      </c>
      <c r="K31" s="156">
        <f>AVERAGE(G31:J31)</f>
        <v>-6.7507102999999997</v>
      </c>
      <c r="M31" s="149"/>
    </row>
    <row r="32" spans="2:20" ht="13.15" x14ac:dyDescent="0.4">
      <c r="B32" s="132" t="s">
        <v>51</v>
      </c>
      <c r="C32" s="151">
        <v>-10.4</v>
      </c>
      <c r="D32" s="157">
        <v>-10.780965113619349</v>
      </c>
      <c r="E32" s="105"/>
      <c r="F32" s="154"/>
      <c r="G32" s="155">
        <v>-6.8102698999999998</v>
      </c>
      <c r="H32" s="155">
        <v>-6.8102698999999998</v>
      </c>
      <c r="I32" s="155">
        <v>-6.8102698999999998</v>
      </c>
      <c r="J32" s="155">
        <v>-6.8102698999999998</v>
      </c>
      <c r="K32" s="156">
        <f t="shared" si="3"/>
        <v>-6.8102698999999998</v>
      </c>
      <c r="M32" s="149"/>
    </row>
    <row r="33" spans="2:18" x14ac:dyDescent="0.35">
      <c r="B33" s="161"/>
      <c r="C33" s="93"/>
      <c r="D33" s="93"/>
      <c r="E33" s="105"/>
      <c r="F33" s="93"/>
      <c r="G33" s="115"/>
      <c r="H33" s="115"/>
      <c r="I33" s="115"/>
      <c r="J33" s="115"/>
      <c r="K33" s="93"/>
      <c r="O33" s="162"/>
      <c r="P33" s="118"/>
      <c r="Q33" s="103"/>
    </row>
    <row r="34" spans="2:18" x14ac:dyDescent="0.35">
      <c r="B34" s="163" t="s">
        <v>52</v>
      </c>
      <c r="C34" s="164"/>
      <c r="D34" s="164"/>
      <c r="E34" s="165"/>
      <c r="F34" s="164"/>
      <c r="G34" s="164"/>
      <c r="H34" s="164"/>
      <c r="I34" s="164"/>
      <c r="J34" s="164"/>
      <c r="K34" s="164"/>
      <c r="L34" s="164"/>
      <c r="M34" s="164"/>
      <c r="N34" s="166"/>
      <c r="O34" s="162"/>
      <c r="P34" s="118"/>
      <c r="Q34" s="103"/>
    </row>
    <row r="35" spans="2:18" x14ac:dyDescent="0.35">
      <c r="B35" s="163" t="s">
        <v>53</v>
      </c>
      <c r="C35" s="164"/>
      <c r="D35" s="164"/>
      <c r="E35" s="165"/>
      <c r="F35" s="164"/>
      <c r="G35" s="164"/>
      <c r="H35" s="164"/>
      <c r="I35" s="164"/>
      <c r="J35" s="164"/>
      <c r="K35" s="164"/>
      <c r="L35" s="164"/>
      <c r="M35" s="164"/>
      <c r="N35" s="166"/>
      <c r="O35" s="162"/>
      <c r="P35" s="118"/>
      <c r="Q35" s="103"/>
    </row>
    <row r="36" spans="2:18" ht="13.15" x14ac:dyDescent="0.4">
      <c r="B36" s="167" t="s">
        <v>54</v>
      </c>
      <c r="C36" s="168">
        <f>C14*C26</f>
        <v>-1943.5572</v>
      </c>
      <c r="D36" s="169">
        <v>-5583.2579497622301</v>
      </c>
      <c r="E36" s="165">
        <f t="shared" ref="E36:E42" si="4">D36/C36-1</f>
        <v>1.8727006078144908</v>
      </c>
      <c r="F36" s="167"/>
      <c r="G36" s="169">
        <f>G26*G14</f>
        <v>-543.92128327312514</v>
      </c>
      <c r="H36" s="169">
        <f>H14*H26</f>
        <v>-519.8243646184045</v>
      </c>
      <c r="I36" s="169">
        <f>I14*I26</f>
        <v>-536.31656360743909</v>
      </c>
      <c r="J36" s="169">
        <f>J14*J26</f>
        <v>-547.97146974558802</v>
      </c>
      <c r="K36" s="170">
        <f>SUM(G36:J36)</f>
        <v>-2148.0336812445566</v>
      </c>
      <c r="L36" s="170"/>
      <c r="M36" s="171">
        <f t="shared" ref="M36:M42" si="5">K36/C36-1</f>
        <v>0.10520733901968859</v>
      </c>
      <c r="N36" s="172"/>
      <c r="O36" s="162"/>
      <c r="P36" s="118"/>
      <c r="Q36" s="103"/>
      <c r="R36" s="103"/>
    </row>
    <row r="37" spans="2:18" ht="13.15" x14ac:dyDescent="0.4">
      <c r="B37" s="167" t="s">
        <v>55</v>
      </c>
      <c r="C37" s="168">
        <f t="shared" ref="C37:C39" si="6">C15*C27</f>
        <v>-213.21299999999999</v>
      </c>
      <c r="D37" s="169">
        <v>-324.01801201994363</v>
      </c>
      <c r="E37" s="165">
        <f t="shared" si="4"/>
        <v>0.51969163240488925</v>
      </c>
      <c r="F37" s="167"/>
      <c r="G37" s="169">
        <f>G27*G15</f>
        <v>-57.680782072869533</v>
      </c>
      <c r="H37" s="169">
        <f t="shared" ref="H37:J42" si="7">H15*H27</f>
        <v>-55.12539555593365</v>
      </c>
      <c r="I37" s="169">
        <f t="shared" si="7"/>
        <v>-56.874330493843082</v>
      </c>
      <c r="J37" s="169">
        <f t="shared" si="7"/>
        <v>-58.110288934352837</v>
      </c>
      <c r="K37" s="170">
        <f>SUM(G37:J37)</f>
        <v>-227.79079705699911</v>
      </c>
      <c r="L37" s="170"/>
      <c r="M37" s="171">
        <f t="shared" si="5"/>
        <v>6.8371989780168674E-2</v>
      </c>
      <c r="N37" s="172"/>
      <c r="O37" s="162"/>
      <c r="P37" s="118"/>
      <c r="Q37" s="103"/>
      <c r="R37" s="103"/>
    </row>
    <row r="38" spans="2:18" ht="13.15" x14ac:dyDescent="0.4">
      <c r="B38" s="167" t="s">
        <v>56</v>
      </c>
      <c r="C38" s="168">
        <f t="shared" si="6"/>
        <v>-596.01605400000005</v>
      </c>
      <c r="D38" s="169">
        <v>-181.01993782200364</v>
      </c>
      <c r="E38" s="165">
        <f t="shared" si="4"/>
        <v>-0.69628345309302087</v>
      </c>
      <c r="F38" s="167"/>
      <c r="G38" s="169">
        <f>G28*G16</f>
        <v>-26.750681251757168</v>
      </c>
      <c r="H38" s="169">
        <f t="shared" si="7"/>
        <v>-25.565566769376694</v>
      </c>
      <c r="I38" s="169">
        <f t="shared" si="7"/>
        <v>-26.376672294869955</v>
      </c>
      <c r="J38" s="169">
        <f>J16*J28</f>
        <v>-26.949874132541407</v>
      </c>
      <c r="K38" s="170">
        <f t="shared" ref="K38:K40" si="8">SUM(G38:J38)</f>
        <v>-105.64279444854522</v>
      </c>
      <c r="L38" s="170"/>
      <c r="M38" s="171">
        <f t="shared" si="5"/>
        <v>-0.8227517635816145</v>
      </c>
      <c r="N38" s="172"/>
      <c r="O38" s="162"/>
      <c r="P38" s="118"/>
      <c r="Q38" s="103"/>
      <c r="R38" s="103"/>
    </row>
    <row r="39" spans="2:18" ht="13.15" x14ac:dyDescent="0.4">
      <c r="B39" s="167" t="s">
        <v>57</v>
      </c>
      <c r="C39" s="168">
        <f t="shared" si="6"/>
        <v>-4106.0105999999996</v>
      </c>
      <c r="D39" s="169">
        <v>-4225.559212409039</v>
      </c>
      <c r="E39" s="165">
        <f t="shared" si="4"/>
        <v>2.9115514803843778E-2</v>
      </c>
      <c r="F39" s="167"/>
      <c r="G39" s="169">
        <f t="shared" ref="G39:G42" si="9">G29*G17</f>
        <v>-1180.9214010481821</v>
      </c>
      <c r="H39" s="169">
        <f t="shared" si="7"/>
        <v>-1410.9225677892091</v>
      </c>
      <c r="I39" s="169">
        <f t="shared" si="7"/>
        <v>-1472.4255067435586</v>
      </c>
      <c r="J39" s="169">
        <f>J17*J29</f>
        <v>-1398.3063494715896</v>
      </c>
      <c r="K39" s="170">
        <f>SUM(G39:J39)</f>
        <v>-5462.5758250525396</v>
      </c>
      <c r="L39" s="170"/>
      <c r="M39" s="171">
        <f t="shared" si="5"/>
        <v>0.33038522235002032</v>
      </c>
      <c r="N39" s="172"/>
      <c r="O39" s="162"/>
      <c r="P39" s="118"/>
      <c r="Q39" s="103"/>
      <c r="R39" s="103"/>
    </row>
    <row r="40" spans="2:18" ht="13.15" x14ac:dyDescent="0.4">
      <c r="B40" s="167" t="s">
        <v>58</v>
      </c>
      <c r="C40" s="168">
        <f>C18*C30</f>
        <v>-863.28659999999991</v>
      </c>
      <c r="D40" s="169">
        <v>-849.06241782392635</v>
      </c>
      <c r="E40" s="165">
        <f t="shared" si="4"/>
        <v>-1.6476778599451847E-2</v>
      </c>
      <c r="F40" s="167"/>
      <c r="G40" s="169">
        <f t="shared" si="9"/>
        <v>-306.7979891753269</v>
      </c>
      <c r="H40" s="169">
        <f t="shared" si="7"/>
        <v>-366.55124235669342</v>
      </c>
      <c r="I40" s="169">
        <f t="shared" si="7"/>
        <v>-382.52942514076295</v>
      </c>
      <c r="J40" s="169">
        <f t="shared" si="7"/>
        <v>-363.27360642985951</v>
      </c>
      <c r="K40" s="170">
        <f t="shared" si="8"/>
        <v>-1419.1522631026428</v>
      </c>
      <c r="L40" s="170"/>
      <c r="M40" s="171">
        <f t="shared" si="5"/>
        <v>0.64389469627194829</v>
      </c>
      <c r="N40" s="172"/>
      <c r="O40" s="162"/>
      <c r="P40" s="118"/>
      <c r="Q40" s="103"/>
      <c r="R40" s="103"/>
    </row>
    <row r="41" spans="2:18" ht="13.15" x14ac:dyDescent="0.4">
      <c r="B41" s="167" t="s">
        <v>59</v>
      </c>
      <c r="C41" s="168">
        <f>-42800.5*1.1</f>
        <v>-47080.55</v>
      </c>
      <c r="D41" s="169">
        <v>-209398.09283414838</v>
      </c>
      <c r="E41" s="165">
        <f t="shared" si="4"/>
        <v>3.4476560455251342</v>
      </c>
      <c r="F41" s="167"/>
      <c r="G41" s="169">
        <f>G31*G19</f>
        <v>-16874.572810289934</v>
      </c>
      <c r="H41" s="169">
        <f t="shared" si="7"/>
        <v>-13556.935469624248</v>
      </c>
      <c r="I41" s="169">
        <f t="shared" si="7"/>
        <v>-17138.125980557314</v>
      </c>
      <c r="J41" s="169">
        <f t="shared" si="7"/>
        <v>-17270.918385509183</v>
      </c>
      <c r="K41" s="170">
        <f>SUM(G41:J41)</f>
        <v>-64840.552645980679</v>
      </c>
      <c r="L41" s="170"/>
      <c r="M41" s="171">
        <f t="shared" si="5"/>
        <v>0.37722589574634702</v>
      </c>
      <c r="N41" s="172"/>
      <c r="O41" s="173"/>
      <c r="P41" s="118"/>
      <c r="Q41" s="103"/>
    </row>
    <row r="42" spans="2:18" ht="13.15" x14ac:dyDescent="0.4">
      <c r="B42" s="167" t="s">
        <v>60</v>
      </c>
      <c r="C42" s="168">
        <f>-104088.75*1.1</f>
        <v>-114497.62500000001</v>
      </c>
      <c r="D42" s="169">
        <v>-168516.76551989675</v>
      </c>
      <c r="E42" s="165">
        <f t="shared" si="4"/>
        <v>0.47179267272920922</v>
      </c>
      <c r="F42" s="167"/>
      <c r="G42" s="169">
        <f t="shared" si="9"/>
        <v>-50997.01980206697</v>
      </c>
      <c r="H42" s="169">
        <f t="shared" si="7"/>
        <v>-45752.856817362088</v>
      </c>
      <c r="I42" s="169">
        <f t="shared" si="7"/>
        <v>-48875.475848080809</v>
      </c>
      <c r="J42" s="169">
        <f t="shared" si="7"/>
        <v>-61258.286426704261</v>
      </c>
      <c r="K42" s="170">
        <f>SUM(G42:J42)</f>
        <v>-206883.63889421412</v>
      </c>
      <c r="L42" s="170"/>
      <c r="M42" s="171">
        <f t="shared" si="5"/>
        <v>0.80688148679253469</v>
      </c>
      <c r="N42" s="172"/>
      <c r="O42" s="173"/>
    </row>
    <row r="43" spans="2:18" x14ac:dyDescent="0.35">
      <c r="B43" s="93"/>
      <c r="C43" s="174"/>
      <c r="D43" s="175"/>
      <c r="E43" s="105"/>
      <c r="F43" s="175"/>
      <c r="G43" s="175"/>
      <c r="H43" s="175"/>
      <c r="I43" s="175"/>
      <c r="J43" s="175"/>
      <c r="K43" s="175"/>
    </row>
    <row r="44" spans="2:18" ht="13.5" thickBot="1" x14ac:dyDescent="0.45">
      <c r="B44" s="176" t="s">
        <v>61</v>
      </c>
      <c r="C44" s="177">
        <f>SUM(C36:C42)</f>
        <v>-169300.25845400002</v>
      </c>
      <c r="D44" s="178">
        <f>SUM(D36:D42)</f>
        <v>-389077.77588388231</v>
      </c>
      <c r="E44" s="179">
        <f>D44/C44-1</f>
        <v>1.2981522853941612</v>
      </c>
      <c r="F44" s="180"/>
      <c r="G44" s="178">
        <f>SUM(G36:G42)</f>
        <v>-69987.664749178162</v>
      </c>
      <c r="H44" s="178">
        <f>SUM(H36:H42)</f>
        <v>-61687.781424075954</v>
      </c>
      <c r="I44" s="178">
        <f>SUM(I36:I42)</f>
        <v>-68488.124326918594</v>
      </c>
      <c r="J44" s="178">
        <f>SUM(J36:J42)</f>
        <v>-80923.816400927375</v>
      </c>
      <c r="K44" s="178">
        <f>SUM(K36:K42)</f>
        <v>-281087.38690110005</v>
      </c>
      <c r="L44" s="180"/>
      <c r="M44" s="179">
        <f>K44/C44-1</f>
        <v>0.6602891777479083</v>
      </c>
    </row>
    <row r="45" spans="2:18" x14ac:dyDescent="0.35">
      <c r="C45" s="181"/>
      <c r="D45" s="181"/>
      <c r="E45" s="181"/>
      <c r="F45" s="181"/>
      <c r="G45" s="181"/>
      <c r="H45" s="181"/>
      <c r="I45" s="181"/>
      <c r="J45" s="181"/>
      <c r="K45" s="181"/>
      <c r="O45" s="118"/>
    </row>
    <row r="46" spans="2:18" x14ac:dyDescent="0.35">
      <c r="C46" s="182"/>
    </row>
    <row r="47" spans="2:18" x14ac:dyDescent="0.35">
      <c r="C47" s="146"/>
      <c r="J47" s="182"/>
    </row>
    <row r="48" spans="2:18" x14ac:dyDescent="0.35">
      <c r="D48" s="182"/>
      <c r="E48" s="150"/>
      <c r="F48" s="150"/>
      <c r="G48" s="150"/>
    </row>
    <row r="49" spans="3:5" x14ac:dyDescent="0.35">
      <c r="C49" s="183"/>
      <c r="E49" s="182"/>
    </row>
  </sheetData>
  <mergeCells count="7">
    <mergeCell ref="B2:I2"/>
    <mergeCell ref="J2:M2"/>
    <mergeCell ref="B3:I3"/>
    <mergeCell ref="J3:M3"/>
    <mergeCell ref="C4:E4"/>
    <mergeCell ref="C5:E5"/>
    <mergeCell ref="G5:M5"/>
  </mergeCells>
  <dataValidations count="1">
    <dataValidation allowBlank="1" showInputMessage="1" showErrorMessage="1" errorTitle="ALERT" error="This cell is automatically populated and should not be overwitten. Overwriting this cell would break calculations in this worksheet." sqref="P15:P18" xr:uid="{7BBB3787-5699-4685-8B67-71A8EDA08D5F}"/>
  </dataValidations>
  <pageMargins left="0.05" right="0.7" top="0.75" bottom="0.75" header="0.3" footer="0.3"/>
  <pageSetup paperSize="7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0705-7B8F-425A-BA19-804489148EAA}">
  <dimension ref="A1:N34"/>
  <sheetViews>
    <sheetView showGridLines="0" zoomScale="93" zoomScaleNormal="80" workbookViewId="0">
      <pane xSplit="2" topLeftCell="C1" activePane="topRight" state="frozen"/>
      <selection activeCell="B15" sqref="B15"/>
      <selection pane="topRight" activeCell="B15" sqref="B15"/>
    </sheetView>
  </sheetViews>
  <sheetFormatPr defaultColWidth="9.46484375" defaultRowHeight="11.65" x14ac:dyDescent="0.35"/>
  <cols>
    <col min="1" max="1" width="2" style="186" customWidth="1"/>
    <col min="2" max="2" width="39.53125" style="186" bestFit="1" customWidth="1"/>
    <col min="3" max="3" width="22.53125" style="186" customWidth="1"/>
    <col min="4" max="4" width="18.6640625" style="186" customWidth="1"/>
    <col min="5" max="5" width="15.53125" style="186" customWidth="1"/>
    <col min="6" max="6" width="12.33203125" style="197" customWidth="1"/>
    <col min="7" max="7" width="17.33203125" style="186" customWidth="1"/>
    <col min="8" max="8" width="15.19921875" style="186" customWidth="1"/>
    <col min="9" max="9" width="15.6640625" style="186" customWidth="1"/>
    <col min="10" max="10" width="13.6640625" style="186" customWidth="1"/>
    <col min="11" max="11" width="14.33203125" style="186" customWidth="1"/>
    <col min="12" max="12" width="15.6640625" style="186" customWidth="1"/>
    <col min="13" max="15" width="23" style="186" customWidth="1"/>
    <col min="16" max="16384" width="9.46484375" style="186"/>
  </cols>
  <sheetData>
    <row r="1" spans="2:13" ht="32.25" x14ac:dyDescent="0.85">
      <c r="B1" s="184" t="s">
        <v>0</v>
      </c>
      <c r="C1" s="184"/>
      <c r="D1" s="184"/>
      <c r="E1" s="184"/>
      <c r="F1" s="184"/>
      <c r="G1" s="184"/>
      <c r="H1" s="184"/>
      <c r="I1" s="184"/>
      <c r="J1" s="184"/>
      <c r="K1" s="185"/>
      <c r="L1" s="185"/>
    </row>
    <row r="2" spans="2:13" ht="15" x14ac:dyDescent="0.4">
      <c r="B2" s="184" t="s">
        <v>62</v>
      </c>
      <c r="C2" s="184"/>
      <c r="D2" s="184"/>
      <c r="E2" s="184"/>
      <c r="F2" s="184"/>
      <c r="G2" s="184"/>
      <c r="H2" s="184"/>
      <c r="I2" s="184"/>
      <c r="J2" s="184"/>
    </row>
    <row r="4" spans="2:13" x14ac:dyDescent="0.35">
      <c r="C4" s="187" t="s">
        <v>4</v>
      </c>
      <c r="D4" s="187"/>
      <c r="E4" s="187"/>
      <c r="F4" s="188"/>
      <c r="G4" s="189" t="s">
        <v>63</v>
      </c>
      <c r="H4" s="189"/>
      <c r="I4" s="189"/>
      <c r="J4" s="189"/>
      <c r="K4" s="189"/>
      <c r="L4" s="189"/>
    </row>
    <row r="5" spans="2:13" ht="48" customHeight="1" thickBot="1" x14ac:dyDescent="0.4">
      <c r="B5" s="190" t="s">
        <v>64</v>
      </c>
      <c r="C5" s="191" t="s">
        <v>65</v>
      </c>
      <c r="D5" s="191" t="s">
        <v>8</v>
      </c>
      <c r="E5" s="191" t="s">
        <v>9</v>
      </c>
      <c r="F5" s="192"/>
      <c r="G5" s="193" t="s">
        <v>10</v>
      </c>
      <c r="H5" s="193" t="s">
        <v>11</v>
      </c>
      <c r="I5" s="193" t="s">
        <v>12</v>
      </c>
      <c r="J5" s="193" t="s">
        <v>13</v>
      </c>
      <c r="K5" s="193" t="s">
        <v>14</v>
      </c>
      <c r="L5" s="194" t="s">
        <v>15</v>
      </c>
    </row>
    <row r="6" spans="2:13" x14ac:dyDescent="0.35">
      <c r="B6" s="195" t="s">
        <v>66</v>
      </c>
      <c r="C6" s="196"/>
      <c r="D6" s="196"/>
      <c r="E6" s="196"/>
      <c r="G6" s="196"/>
      <c r="H6" s="196"/>
      <c r="I6" s="196"/>
      <c r="J6" s="196"/>
      <c r="K6" s="196"/>
      <c r="L6" s="196"/>
    </row>
    <row r="7" spans="2:13" x14ac:dyDescent="0.35">
      <c r="B7" s="196" t="s">
        <v>67</v>
      </c>
      <c r="C7" s="198">
        <f>'COGS -Direct Materials'!C8</f>
        <v>3906.14</v>
      </c>
      <c r="D7" s="198">
        <v>14850.993723247346</v>
      </c>
      <c r="E7" s="199">
        <f>C7/D7-1</f>
        <v>-0.73697787011481708</v>
      </c>
      <c r="F7" s="200"/>
      <c r="G7" s="201">
        <f>'COGS -Direct Materials'!G8</f>
        <v>1937.1195479721964</v>
      </c>
      <c r="H7" s="201">
        <f>'COGS -Direct Materials'!H8</f>
        <v>1851.3008576443242</v>
      </c>
      <c r="I7" s="201">
        <f>'COGS -Direct Materials'!I8</f>
        <v>1910.0361232666919</v>
      </c>
      <c r="J7" s="201">
        <f>'COGS -Direct Materials'!J8</f>
        <v>1951.5438693400381</v>
      </c>
      <c r="K7" s="202">
        <f>SUM(G7:J7)</f>
        <v>7650.0003982232511</v>
      </c>
      <c r="L7" s="203">
        <f>K7/C7-1</f>
        <v>0.95845525204505</v>
      </c>
    </row>
    <row r="8" spans="2:13" x14ac:dyDescent="0.35">
      <c r="B8" s="196" t="s">
        <v>68</v>
      </c>
      <c r="C8" s="198">
        <f>+'COGS -Direct Materials'!C9</f>
        <v>838.36</v>
      </c>
      <c r="D8" s="198">
        <v>7069</v>
      </c>
      <c r="E8" s="199">
        <f>C8/D8-1</f>
        <v>-0.88140331022775498</v>
      </c>
      <c r="F8" s="200"/>
      <c r="G8" s="201">
        <f>+'COGS -Direct Materials'!G9</f>
        <v>1837.5644221524271</v>
      </c>
      <c r="H8" s="201">
        <f>+'COGS -Direct Materials'!H9</f>
        <v>2195.4561164529314</v>
      </c>
      <c r="I8" s="201">
        <f>+'COGS -Direct Materials'!I9</f>
        <v>2291.1573310977105</v>
      </c>
      <c r="J8" s="201">
        <f>+'COGS -Direct Materials'!J9</f>
        <v>2175.8247388676086</v>
      </c>
      <c r="K8" s="202">
        <f>SUM(G8:J8)</f>
        <v>8500.0026085706777</v>
      </c>
      <c r="L8" s="203">
        <f>K8/C8-1</f>
        <v>9.138845613543916</v>
      </c>
    </row>
    <row r="9" spans="2:13" x14ac:dyDescent="0.35">
      <c r="L9" s="5"/>
    </row>
    <row r="10" spans="2:13" x14ac:dyDescent="0.35">
      <c r="L10" s="27"/>
    </row>
    <row r="11" spans="2:13" x14ac:dyDescent="0.35">
      <c r="B11" s="195" t="s">
        <v>69</v>
      </c>
      <c r="C11" s="204">
        <v>-1322.04618</v>
      </c>
      <c r="D11" s="204">
        <v>-1900.9579945600003</v>
      </c>
      <c r="E11" s="199">
        <f>C11/D11-1</f>
        <v>-0.30453687888774017</v>
      </c>
      <c r="F11" s="205"/>
      <c r="G11" s="206">
        <f>K11/4</f>
        <v>-669.63906398250015</v>
      </c>
      <c r="H11" s="206">
        <f>+G11</f>
        <v>-669.63906398250015</v>
      </c>
      <c r="I11" s="206">
        <f>+H11</f>
        <v>-669.63906398250015</v>
      </c>
      <c r="J11" s="206">
        <f>+I11</f>
        <v>-669.63906398250015</v>
      </c>
      <c r="K11" s="207">
        <f>'[1]Payroll Expense'!N15+'[1]Payroll Expense'!N16</f>
        <v>-2678.5562559300006</v>
      </c>
      <c r="L11" s="208">
        <f>K11/C11-1</f>
        <v>1.0260686021799938</v>
      </c>
    </row>
    <row r="12" spans="2:13" x14ac:dyDescent="0.35">
      <c r="C12" s="209"/>
      <c r="D12" s="209"/>
      <c r="E12" s="209"/>
      <c r="F12" s="205"/>
      <c r="K12" s="209"/>
      <c r="L12" s="59"/>
      <c r="M12" s="209"/>
    </row>
    <row r="13" spans="2:13" x14ac:dyDescent="0.35">
      <c r="B13" s="195" t="s">
        <v>70</v>
      </c>
      <c r="C13" s="209"/>
      <c r="D13" s="209"/>
      <c r="E13" s="209"/>
      <c r="F13" s="205"/>
      <c r="L13" s="59"/>
    </row>
    <row r="14" spans="2:13" x14ac:dyDescent="0.35">
      <c r="B14" s="210" t="s">
        <v>71</v>
      </c>
      <c r="C14" s="211">
        <f>-61.77591</f>
        <v>-61.775910000000003</v>
      </c>
      <c r="D14" s="211">
        <f>-294.2654967-99.746109316-5.90898958035471</f>
        <v>-399.92059559635476</v>
      </c>
      <c r="E14" s="212">
        <f t="shared" ref="E14:E24" si="0">C14/D14-1</f>
        <v>-0.8455295609172595</v>
      </c>
      <c r="F14" s="205"/>
      <c r="G14" s="211">
        <f t="shared" ref="G14:J22" si="1">$K14/4</f>
        <v>-124.20876440951078</v>
      </c>
      <c r="H14" s="211">
        <f t="shared" si="1"/>
        <v>-124.20876440951078</v>
      </c>
      <c r="I14" s="211">
        <f t="shared" si="1"/>
        <v>-124.20876440951078</v>
      </c>
      <c r="J14" s="211">
        <f t="shared" si="1"/>
        <v>-124.20876440951078</v>
      </c>
      <c r="K14" s="211">
        <f>(-'[1]Recurrent cost apportionment'!F122-'[1]Recurrent cost apportionment'!F98-'[1]Recurrent cost apportionment'!F117)/1000</f>
        <v>-496.83505763804311</v>
      </c>
      <c r="L14" s="212">
        <f t="shared" ref="L14:L24" si="2">K14/C14-1</f>
        <v>7.0425372550245413</v>
      </c>
    </row>
    <row r="15" spans="2:13" x14ac:dyDescent="0.35">
      <c r="B15" s="210" t="s">
        <v>72</v>
      </c>
      <c r="C15" s="211">
        <v>-96.369470000000007</v>
      </c>
      <c r="D15" s="211">
        <v>-763.79166373200258</v>
      </c>
      <c r="E15" s="212">
        <f t="shared" si="0"/>
        <v>-0.8738275441118013</v>
      </c>
      <c r="F15" s="205"/>
      <c r="G15" s="211">
        <f t="shared" si="1"/>
        <v>0</v>
      </c>
      <c r="H15" s="211">
        <f>$K15/4</f>
        <v>0</v>
      </c>
      <c r="I15" s="211">
        <f>$K15/4</f>
        <v>0</v>
      </c>
      <c r="J15" s="211">
        <f>$K15/4</f>
        <v>0</v>
      </c>
      <c r="K15" s="211">
        <f>-'[1]Recurrent cost apportionment'!F93/1000*'SALES BUDGET'!N43</f>
        <v>0</v>
      </c>
      <c r="L15" s="212">
        <f t="shared" si="2"/>
        <v>-1</v>
      </c>
    </row>
    <row r="16" spans="2:13" x14ac:dyDescent="0.35">
      <c r="B16" s="210" t="s">
        <v>73</v>
      </c>
      <c r="C16" s="211">
        <v>-252.27839</v>
      </c>
      <c r="D16" s="211">
        <v>-55.618180839803436</v>
      </c>
      <c r="E16" s="212">
        <f t="shared" si="0"/>
        <v>3.5358979058778504</v>
      </c>
      <c r="F16" s="205"/>
      <c r="G16" s="211">
        <f t="shared" si="1"/>
        <v>0</v>
      </c>
      <c r="H16" s="211">
        <f t="shared" si="1"/>
        <v>0</v>
      </c>
      <c r="I16" s="211">
        <f t="shared" si="1"/>
        <v>0</v>
      </c>
      <c r="J16" s="211">
        <f t="shared" si="1"/>
        <v>0</v>
      </c>
      <c r="K16" s="211">
        <f>-'[1]Recurrent cost apportionment'!F95/1000</f>
        <v>0</v>
      </c>
      <c r="L16" s="212">
        <f t="shared" si="2"/>
        <v>-1</v>
      </c>
    </row>
    <row r="17" spans="1:14" x14ac:dyDescent="0.35">
      <c r="B17" s="210" t="s">
        <v>74</v>
      </c>
      <c r="C17" s="211">
        <v>-54.797919999999998</v>
      </c>
      <c r="D17" s="211">
        <v>-33.789000000000001</v>
      </c>
      <c r="E17" s="212">
        <f t="shared" si="0"/>
        <v>0.62176803101601097</v>
      </c>
      <c r="F17" s="205"/>
      <c r="G17" s="211">
        <f t="shared" si="1"/>
        <v>-34.390741874999996</v>
      </c>
      <c r="H17" s="211">
        <f t="shared" si="1"/>
        <v>-34.390741874999996</v>
      </c>
      <c r="I17" s="211">
        <f t="shared" si="1"/>
        <v>-34.390741874999996</v>
      </c>
      <c r="J17" s="211">
        <f t="shared" si="1"/>
        <v>-34.390741874999996</v>
      </c>
      <c r="K17" s="211">
        <f>'[1]LAB BUDGET-2026'!G80/1000*-1</f>
        <v>-137.56296749999998</v>
      </c>
      <c r="L17" s="212">
        <f t="shared" si="2"/>
        <v>1.5103684136186191</v>
      </c>
    </row>
    <row r="18" spans="1:14" x14ac:dyDescent="0.35">
      <c r="A18" s="213"/>
      <c r="B18" s="210" t="s">
        <v>75</v>
      </c>
      <c r="C18" s="211">
        <v>-257.39999999999998</v>
      </c>
      <c r="D18" s="211">
        <v>-1085.570391</v>
      </c>
      <c r="E18" s="212">
        <f t="shared" si="0"/>
        <v>-0.76288962730192966</v>
      </c>
      <c r="F18" s="205"/>
      <c r="G18" s="211">
        <f t="shared" si="1"/>
        <v>-321.13431643174994</v>
      </c>
      <c r="H18" s="211">
        <f t="shared" si="1"/>
        <v>-321.13431643174994</v>
      </c>
      <c r="I18" s="211">
        <f t="shared" si="1"/>
        <v>-321.13431643174994</v>
      </c>
      <c r="J18" s="211">
        <f t="shared" si="1"/>
        <v>-321.13431643174994</v>
      </c>
      <c r="K18" s="211">
        <f>(584978.84+'[1]LAB BUDGET-2026'!G81+'[1]PRODUCTION AND PLANT BUDGET'!T23)/1000*-1</f>
        <v>-1284.5372657269997</v>
      </c>
      <c r="L18" s="212">
        <f t="shared" si="2"/>
        <v>3.9904322677816619</v>
      </c>
      <c r="N18" s="214"/>
    </row>
    <row r="19" spans="1:14" x14ac:dyDescent="0.35">
      <c r="B19" s="210" t="s">
        <v>76</v>
      </c>
      <c r="C19" s="211">
        <v>-81.791470000000004</v>
      </c>
      <c r="D19" s="211">
        <v>-62.424243464120046</v>
      </c>
      <c r="E19" s="212">
        <f t="shared" si="0"/>
        <v>0.31025168205701648</v>
      </c>
      <c r="F19" s="205"/>
      <c r="G19" s="211">
        <f t="shared" si="1"/>
        <v>-101.74787335286092</v>
      </c>
      <c r="H19" s="211">
        <f>$K19/4</f>
        <v>-101.74787335286092</v>
      </c>
      <c r="I19" s="211">
        <f>$K19/4</f>
        <v>-101.74787335286092</v>
      </c>
      <c r="J19" s="211">
        <f>$K19/4</f>
        <v>-101.74787335286092</v>
      </c>
      <c r="K19" s="211">
        <f>('[1]Recurrent cost apportionment'!F111+'[1]Recurrent cost apportionment'!F110)/1000*-1</f>
        <v>-406.99149341144368</v>
      </c>
      <c r="L19" s="212">
        <f t="shared" si="2"/>
        <v>3.9759650170298162</v>
      </c>
      <c r="M19" s="27"/>
    </row>
    <row r="20" spans="1:14" ht="14.45" customHeight="1" x14ac:dyDescent="0.35">
      <c r="B20" s="210" t="s">
        <v>77</v>
      </c>
      <c r="C20" s="211">
        <v>-89.762209999999996</v>
      </c>
      <c r="D20" s="211">
        <v>-24.91882988267394</v>
      </c>
      <c r="E20" s="212">
        <f t="shared" si="0"/>
        <v>2.6021839878770412</v>
      </c>
      <c r="F20" s="205"/>
      <c r="G20" s="211">
        <f t="shared" si="1"/>
        <v>-16.383509959236015</v>
      </c>
      <c r="H20" s="211">
        <f t="shared" si="1"/>
        <v>-16.383509959236015</v>
      </c>
      <c r="I20" s="211">
        <f t="shared" si="1"/>
        <v>-16.383509959236015</v>
      </c>
      <c r="J20" s="211">
        <f t="shared" si="1"/>
        <v>-16.383509959236015</v>
      </c>
      <c r="K20" s="211">
        <f>('[1]Recurrent cost apportionment'!F117+'[1]Recurrent cost apportionment'!F118+'[1]Recurrent cost apportionment'!F119+'[1]Recurrent cost apportionment'!F120+'[1]Recurrent cost apportionment'!F121)/-1000</f>
        <v>-65.534039836944061</v>
      </c>
      <c r="L20" s="212">
        <f t="shared" si="2"/>
        <v>-0.26991503621686608</v>
      </c>
      <c r="M20" s="27"/>
    </row>
    <row r="21" spans="1:14" x14ac:dyDescent="0.35">
      <c r="B21" s="210" t="s">
        <v>78</v>
      </c>
      <c r="C21" s="211">
        <f>-106500/1000</f>
        <v>-106.5</v>
      </c>
      <c r="D21" s="211">
        <v>-2.9195084038199184</v>
      </c>
      <c r="E21" s="212">
        <f t="shared" si="0"/>
        <v>35.478744113445323</v>
      </c>
      <c r="F21" s="205"/>
      <c r="G21" s="211">
        <f>$K21/4</f>
        <v>-34.537962899999997</v>
      </c>
      <c r="H21" s="211">
        <f t="shared" si="1"/>
        <v>-34.537962899999997</v>
      </c>
      <c r="I21" s="211">
        <f t="shared" si="1"/>
        <v>-34.537962899999997</v>
      </c>
      <c r="J21" s="211">
        <f t="shared" si="1"/>
        <v>-34.537962899999997</v>
      </c>
      <c r="K21" s="211">
        <f>'[1]Recurrent cost apportionment'!F201/-1000</f>
        <v>-138.15185159999999</v>
      </c>
      <c r="L21" s="212">
        <f t="shared" si="2"/>
        <v>0.29720048450704217</v>
      </c>
    </row>
    <row r="22" spans="1:14" x14ac:dyDescent="0.35">
      <c r="B22" s="210" t="s">
        <v>79</v>
      </c>
      <c r="C22" s="211">
        <f>-427345.42/1000</f>
        <v>-427.34541999999999</v>
      </c>
      <c r="D22" s="211">
        <v>-879.49051169667098</v>
      </c>
      <c r="E22" s="212">
        <f t="shared" si="0"/>
        <v>-0.51409888530168946</v>
      </c>
      <c r="F22" s="205"/>
      <c r="G22" s="211">
        <f>$K22/4</f>
        <v>-307.0908025</v>
      </c>
      <c r="H22" s="211">
        <f t="shared" si="1"/>
        <v>-307.0908025</v>
      </c>
      <c r="I22" s="211">
        <f t="shared" si="1"/>
        <v>-307.0908025</v>
      </c>
      <c r="J22" s="211">
        <f t="shared" si="1"/>
        <v>-307.0908025</v>
      </c>
      <c r="K22" s="211">
        <f>'[1]WORKINGS FOR OTHER ADMIN BUDGET'!C34/1000*-1</f>
        <v>-1228.36321</v>
      </c>
      <c r="L22" s="212">
        <f t="shared" si="2"/>
        <v>1.8744035913617609</v>
      </c>
      <c r="N22" s="215"/>
    </row>
    <row r="23" spans="1:14" x14ac:dyDescent="0.35">
      <c r="B23" s="210" t="s">
        <v>80</v>
      </c>
      <c r="C23" s="211">
        <v>-6296.7846600000003</v>
      </c>
      <c r="D23" s="211">
        <v>-7089.298467567779</v>
      </c>
      <c r="E23" s="212">
        <f t="shared" si="0"/>
        <v>-0.11179015966013872</v>
      </c>
      <c r="F23" s="205"/>
      <c r="G23" s="211">
        <f>$K23/4</f>
        <v>-1944.1817289441603</v>
      </c>
      <c r="H23" s="211">
        <f>$K$23/4</f>
        <v>-1944.1817289441603</v>
      </c>
      <c r="I23" s="211">
        <f t="shared" ref="I23:J23" si="3">$K$23/4</f>
        <v>-1944.1817289441603</v>
      </c>
      <c r="J23" s="211">
        <f t="shared" si="3"/>
        <v>-1944.1817289441603</v>
      </c>
      <c r="K23" s="211">
        <f>-('[1]DEPRECIATION WORKINGS'!C14+'[1]DEPRECIATION WORKINGS'!D14)/1000</f>
        <v>-7776.7269157766414</v>
      </c>
      <c r="L23" s="212">
        <f t="shared" si="2"/>
        <v>0.23503142249375264</v>
      </c>
    </row>
    <row r="24" spans="1:14" ht="12" thickBot="1" x14ac:dyDescent="0.4">
      <c r="B24" s="216" t="s">
        <v>81</v>
      </c>
      <c r="C24" s="217">
        <f>SUM(C11:C23)</f>
        <v>-9046.851630000001</v>
      </c>
      <c r="D24" s="217">
        <f>SUM(D11:D23)</f>
        <v>-12298.699386743225</v>
      </c>
      <c r="E24" s="218">
        <f t="shared" si="0"/>
        <v>-0.2644058249157949</v>
      </c>
      <c r="F24" s="205"/>
      <c r="G24" s="217">
        <f>SUM(G11:G23)</f>
        <v>-3553.3147643550183</v>
      </c>
      <c r="H24" s="217">
        <f>SUM(H11:H23)</f>
        <v>-3553.3147643550183</v>
      </c>
      <c r="I24" s="217">
        <f>SUM(I11:I23)</f>
        <v>-3553.3147643550183</v>
      </c>
      <c r="J24" s="217">
        <f>SUM(J11:J23)</f>
        <v>-3553.3147643550183</v>
      </c>
      <c r="K24" s="217">
        <f>SUM(K11:K23)</f>
        <v>-14213.259057420073</v>
      </c>
      <c r="L24" s="218">
        <f t="shared" si="2"/>
        <v>0.57107241709236156</v>
      </c>
    </row>
    <row r="26" spans="1:14" x14ac:dyDescent="0.35">
      <c r="C26" s="209"/>
      <c r="D26" s="209"/>
      <c r="E26" s="209"/>
      <c r="F26" s="205"/>
      <c r="G26" s="219"/>
    </row>
    <row r="27" spans="1:14" x14ac:dyDescent="0.35">
      <c r="C27" s="209"/>
      <c r="D27" s="209"/>
      <c r="E27" s="209"/>
      <c r="F27" s="220"/>
      <c r="H27" s="221"/>
    </row>
    <row r="28" spans="1:14" x14ac:dyDescent="0.35">
      <c r="C28" s="209"/>
      <c r="D28" s="209"/>
      <c r="E28" s="209"/>
      <c r="F28" s="205"/>
      <c r="G28" s="219"/>
      <c r="J28" s="215"/>
    </row>
    <row r="29" spans="1:14" x14ac:dyDescent="0.35">
      <c r="C29" s="222"/>
      <c r="D29" s="209"/>
      <c r="E29" s="209"/>
      <c r="I29" s="215"/>
      <c r="J29" s="215"/>
    </row>
    <row r="30" spans="1:14" x14ac:dyDescent="0.35">
      <c r="C30" s="222"/>
    </row>
    <row r="31" spans="1:14" x14ac:dyDescent="0.35">
      <c r="C31" s="222"/>
    </row>
    <row r="32" spans="1:14" x14ac:dyDescent="0.35">
      <c r="C32" s="222"/>
    </row>
    <row r="33" spans="3:4" x14ac:dyDescent="0.35">
      <c r="C33" s="223"/>
      <c r="D33" s="224"/>
    </row>
    <row r="34" spans="3:4" x14ac:dyDescent="0.35">
      <c r="C34" s="224"/>
    </row>
  </sheetData>
  <mergeCells count="6">
    <mergeCell ref="B1:H1"/>
    <mergeCell ref="I1:J1"/>
    <mergeCell ref="K1:L1"/>
    <mergeCell ref="B2:H2"/>
    <mergeCell ref="I2:J2"/>
    <mergeCell ref="G4:L4"/>
  </mergeCells>
  <pageMargins left="0.04" right="0" top="0.38" bottom="0.5" header="0.3" footer="0.3"/>
  <pageSetup paperSize="7" orientation="landscape" r:id="rId1"/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BB88-477E-42EE-B2DF-174755B8742E}">
  <dimension ref="A1:O99"/>
  <sheetViews>
    <sheetView zoomScale="90" zoomScaleNormal="90" workbookViewId="0">
      <pane xSplit="2" topLeftCell="C1" activePane="topRight" state="frozen"/>
      <selection activeCell="B15" sqref="B15"/>
      <selection pane="topRight" activeCell="B15" sqref="B15"/>
    </sheetView>
  </sheetViews>
  <sheetFormatPr defaultColWidth="9.46484375" defaultRowHeight="11.65" x14ac:dyDescent="0.35"/>
  <cols>
    <col min="1" max="1" width="2" style="186" customWidth="1"/>
    <col min="2" max="2" width="40.33203125" style="186" bestFit="1" customWidth="1"/>
    <col min="3" max="3" width="21.53125" style="27" bestFit="1" customWidth="1"/>
    <col min="4" max="4" width="17.46484375" style="27" bestFit="1" customWidth="1"/>
    <col min="5" max="6" width="14.33203125" style="27" customWidth="1"/>
    <col min="7" max="7" width="10.86328125" style="186" customWidth="1"/>
    <col min="8" max="11" width="12" style="186" bestFit="1" customWidth="1"/>
    <col min="12" max="12" width="17.33203125" style="27" customWidth="1"/>
    <col min="13" max="13" width="2.46484375" style="186" customWidth="1"/>
    <col min="14" max="14" width="14.33203125" style="186" customWidth="1"/>
    <col min="15" max="16384" width="9.46484375" style="186"/>
  </cols>
  <sheetData>
    <row r="1" spans="2:15" ht="15" x14ac:dyDescent="0.4">
      <c r="B1" s="225"/>
    </row>
    <row r="2" spans="2:15" ht="22.5" x14ac:dyDescent="0.6">
      <c r="C2" s="226" t="s">
        <v>0</v>
      </c>
      <c r="D2" s="226"/>
      <c r="E2" s="226"/>
    </row>
    <row r="3" spans="2:15" ht="15" x14ac:dyDescent="0.4">
      <c r="C3" s="227" t="s">
        <v>82</v>
      </c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</row>
    <row r="4" spans="2:15" ht="15.6" customHeight="1" x14ac:dyDescent="0.35">
      <c r="C4" s="186"/>
      <c r="D4" s="186"/>
      <c r="E4" s="186"/>
      <c r="F4" s="186"/>
      <c r="L4" s="186"/>
    </row>
    <row r="6" spans="2:15" x14ac:dyDescent="0.35">
      <c r="C6" s="187" t="s">
        <v>4</v>
      </c>
      <c r="D6" s="187"/>
      <c r="E6" s="187"/>
      <c r="F6" s="187"/>
      <c r="G6" s="228"/>
      <c r="H6" s="189" t="s">
        <v>83</v>
      </c>
      <c r="I6" s="189"/>
      <c r="J6" s="189"/>
      <c r="K6" s="189"/>
      <c r="L6" s="189"/>
      <c r="M6" s="189"/>
      <c r="N6" s="189"/>
    </row>
    <row r="7" spans="2:15" ht="12" thickBot="1" x14ac:dyDescent="0.4">
      <c r="B7" s="229" t="s">
        <v>64</v>
      </c>
      <c r="C7" s="230" t="s">
        <v>7</v>
      </c>
      <c r="D7" s="230" t="s">
        <v>8</v>
      </c>
      <c r="E7" s="230" t="s">
        <v>84</v>
      </c>
      <c r="F7" s="231"/>
      <c r="G7" s="228"/>
      <c r="H7" s="193" t="s">
        <v>10</v>
      </c>
      <c r="I7" s="193" t="s">
        <v>11</v>
      </c>
      <c r="J7" s="193" t="s">
        <v>12</v>
      </c>
      <c r="K7" s="193" t="s">
        <v>13</v>
      </c>
      <c r="L7" s="232" t="s">
        <v>14</v>
      </c>
      <c r="M7" s="233"/>
      <c r="N7" s="234" t="s">
        <v>85</v>
      </c>
    </row>
    <row r="8" spans="2:15" x14ac:dyDescent="0.35">
      <c r="B8" s="229"/>
      <c r="C8" s="18"/>
      <c r="D8" s="18"/>
      <c r="E8" s="18"/>
      <c r="F8" s="18"/>
      <c r="G8" s="228"/>
      <c r="H8" s="233"/>
      <c r="I8" s="233"/>
      <c r="J8" s="233"/>
      <c r="K8" s="233"/>
      <c r="L8" s="235"/>
      <c r="M8" s="235"/>
      <c r="N8" s="236"/>
    </row>
    <row r="9" spans="2:15" ht="10.8" customHeight="1" x14ac:dyDescent="0.35">
      <c r="B9" s="10" t="s">
        <v>86</v>
      </c>
      <c r="C9" s="209">
        <f>2627868.78/-1000</f>
        <v>-2627.8687799999998</v>
      </c>
      <c r="D9" s="209">
        <v>-3224.55</v>
      </c>
      <c r="E9" s="237">
        <f t="shared" ref="E9:E25" si="0">C9/D9-1</f>
        <v>-0.18504325254686715</v>
      </c>
      <c r="F9" s="238"/>
      <c r="G9" s="228"/>
      <c r="H9" s="239">
        <f>$L9/4</f>
        <v>-1925.4533262049997</v>
      </c>
      <c r="I9" s="239">
        <f>$L9/4</f>
        <v>-1925.4533262049997</v>
      </c>
      <c r="J9" s="239">
        <f>$L9/4</f>
        <v>-1925.4533262049997</v>
      </c>
      <c r="K9" s="239">
        <f>$L9/4</f>
        <v>-1925.4533262049997</v>
      </c>
      <c r="L9" s="240">
        <f>'[1]SALARIES BUDGET'!L46/-1000</f>
        <v>-7701.8133048199988</v>
      </c>
      <c r="M9" s="238"/>
      <c r="N9" s="241">
        <f t="shared" ref="N9:N34" si="1">L9/C9-1</f>
        <v>1.9308211138381117</v>
      </c>
      <c r="O9" s="224"/>
    </row>
    <row r="10" spans="2:15" x14ac:dyDescent="0.35">
      <c r="B10" s="10" t="s">
        <v>87</v>
      </c>
      <c r="C10" s="209">
        <f>-51277.09/1000</f>
        <v>-51.277089999999994</v>
      </c>
      <c r="D10" s="209">
        <v>-4404.1179099999999</v>
      </c>
      <c r="E10" s="237">
        <f t="shared" si="0"/>
        <v>-0.98835701244883334</v>
      </c>
      <c r="F10" s="238"/>
      <c r="G10" s="228"/>
      <c r="H10" s="239">
        <f>L10/4</f>
        <v>-294.2267791447764</v>
      </c>
      <c r="I10" s="239">
        <f t="shared" ref="I10:K30" si="2">$L10/4</f>
        <v>-294.2267791447764</v>
      </c>
      <c r="J10" s="239">
        <f t="shared" si="2"/>
        <v>-294.2267791447764</v>
      </c>
      <c r="K10" s="239">
        <f t="shared" si="2"/>
        <v>-294.2267791447764</v>
      </c>
      <c r="L10" s="240">
        <f>(('[1]Recurrent cost apportionment'!F92+'[1]Recurrent cost apportionment'!F96+'[1]Recurrent cost apportionment'!F99+'[1]Recurrent cost apportionment'!F100+'[1]Recurrent cost apportionment'!F101+'[1]2026 Mktg Budget - Breakdown '!G30+'[1]LAB BUDGET-2026'!G82+'[1]WORKINGS FOR OTHER ADMIN BUDGET'!C3+'[1]WORKINGS FOR OTHER ADMIN BUDGET'!C4)*0.7)/-1000</f>
        <v>-1176.9071165791056</v>
      </c>
      <c r="M10" s="238"/>
      <c r="N10" s="241">
        <f t="shared" si="1"/>
        <v>21.95190925575351</v>
      </c>
    </row>
    <row r="11" spans="2:15" x14ac:dyDescent="0.35">
      <c r="B11" s="10" t="s">
        <v>88</v>
      </c>
      <c r="C11" s="209">
        <v>-9.6050000000000004</v>
      </c>
      <c r="D11" s="209">
        <v>-18.564</v>
      </c>
      <c r="E11" s="237">
        <f t="shared" si="0"/>
        <v>-0.48260073260073255</v>
      </c>
      <c r="F11" s="238"/>
      <c r="G11" s="228"/>
      <c r="H11" s="239">
        <f t="shared" ref="H11:H30" si="3">$L11/4</f>
        <v>-73.615250000000003</v>
      </c>
      <c r="I11" s="239">
        <f t="shared" si="2"/>
        <v>-73.615250000000003</v>
      </c>
      <c r="J11" s="239">
        <f t="shared" si="2"/>
        <v>-73.615250000000003</v>
      </c>
      <c r="K11" s="239">
        <f t="shared" si="2"/>
        <v>-73.615250000000003</v>
      </c>
      <c r="L11" s="240">
        <f>('[1]Recurrent cost apportionment'!F173+'[1]ADMINISTRATIVE BUDGET'!J60)/-1000</f>
        <v>-294.46100000000001</v>
      </c>
      <c r="M11" s="238"/>
      <c r="N11" s="241">
        <f t="shared" si="1"/>
        <v>29.657053617907341</v>
      </c>
    </row>
    <row r="12" spans="2:15" x14ac:dyDescent="0.35">
      <c r="B12" s="10" t="s">
        <v>89</v>
      </c>
      <c r="C12" s="209">
        <f>-250526.55/1000</f>
        <v>-250.52654999999999</v>
      </c>
      <c r="D12" s="209">
        <v>-198.56449365000003</v>
      </c>
      <c r="E12" s="237">
        <f t="shared" si="0"/>
        <v>0.26168855969582827</v>
      </c>
      <c r="F12" s="238"/>
      <c r="G12" s="228"/>
      <c r="H12" s="239">
        <f t="shared" si="3"/>
        <v>-152.8539904880524</v>
      </c>
      <c r="I12" s="239">
        <f t="shared" si="2"/>
        <v>-152.8539904880524</v>
      </c>
      <c r="J12" s="239">
        <f t="shared" si="2"/>
        <v>-152.8539904880524</v>
      </c>
      <c r="K12" s="239">
        <f t="shared" si="2"/>
        <v>-152.8539904880524</v>
      </c>
      <c r="L12" s="240">
        <f>'[1]OTHER ADMIN EXPENSES GOB (2)'!D2/-1000</f>
        <v>-611.41596195220961</v>
      </c>
      <c r="M12" s="238"/>
      <c r="N12" s="241">
        <f t="shared" si="1"/>
        <v>1.4405236169667832</v>
      </c>
    </row>
    <row r="13" spans="2:15" s="197" customFormat="1" ht="14.25" x14ac:dyDescent="0.45">
      <c r="B13" t="s">
        <v>90</v>
      </c>
      <c r="C13" s="205">
        <v>-1.45</v>
      </c>
      <c r="D13" s="205">
        <v>-44.117647058823522</v>
      </c>
      <c r="E13" s="242">
        <f t="shared" si="0"/>
        <v>-0.96713333333333329</v>
      </c>
      <c r="F13" s="240"/>
      <c r="G13" s="243"/>
      <c r="H13" s="244">
        <f t="shared" si="3"/>
        <v>-100.14705882352939</v>
      </c>
      <c r="I13" s="244">
        <f t="shared" si="2"/>
        <v>-100.14705882352939</v>
      </c>
      <c r="J13" s="244">
        <f t="shared" si="2"/>
        <v>-100.14705882352939</v>
      </c>
      <c r="K13" s="244">
        <f t="shared" si="2"/>
        <v>-100.14705882352939</v>
      </c>
      <c r="L13" s="240">
        <f>-'[1]Recurrent cost apportionment'!F110/1000</f>
        <v>-400.58823529411757</v>
      </c>
      <c r="M13" s="240"/>
      <c r="N13" s="245">
        <f t="shared" si="1"/>
        <v>275.26774847870178</v>
      </c>
    </row>
    <row r="14" spans="2:15" s="197" customFormat="1" x14ac:dyDescent="0.35">
      <c r="B14" s="4" t="s">
        <v>91</v>
      </c>
      <c r="C14" s="205">
        <f>-43122.91/1000</f>
        <v>-43.122910000000005</v>
      </c>
      <c r="D14" s="205">
        <v>-99.565659315931597</v>
      </c>
      <c r="E14" s="242">
        <f t="shared" si="0"/>
        <v>-0.56688972587258446</v>
      </c>
      <c r="F14" s="240"/>
      <c r="G14" s="243"/>
      <c r="H14" s="244">
        <f t="shared" si="3"/>
        <v>0</v>
      </c>
      <c r="I14" s="244">
        <f t="shared" si="2"/>
        <v>0</v>
      </c>
      <c r="J14" s="244">
        <f t="shared" si="2"/>
        <v>0</v>
      </c>
      <c r="K14" s="244">
        <f t="shared" si="2"/>
        <v>0</v>
      </c>
      <c r="L14" s="240">
        <f>('[1]Recurrent cost apportionment'!F77+'[1]Recurrent cost apportionment'!F76)/-1000</f>
        <v>0</v>
      </c>
      <c r="M14" s="240"/>
      <c r="N14" s="245">
        <f t="shared" si="1"/>
        <v>-1</v>
      </c>
    </row>
    <row r="15" spans="2:15" s="197" customFormat="1" x14ac:dyDescent="0.35">
      <c r="B15" s="4" t="s">
        <v>92</v>
      </c>
      <c r="C15" s="205">
        <f>-119717.11/1000</f>
        <v>-119.71711000000001</v>
      </c>
      <c r="D15" s="205">
        <v>-364.48985999999996</v>
      </c>
      <c r="E15" s="242">
        <f t="shared" si="0"/>
        <v>-0.6715488600972328</v>
      </c>
      <c r="F15" s="240"/>
      <c r="G15" s="243"/>
      <c r="H15" s="244">
        <f t="shared" si="3"/>
        <v>-128.27255</v>
      </c>
      <c r="I15" s="244">
        <f t="shared" si="2"/>
        <v>-128.27255</v>
      </c>
      <c r="J15" s="244">
        <f t="shared" si="2"/>
        <v>-128.27255</v>
      </c>
      <c r="K15" s="244">
        <f t="shared" si="2"/>
        <v>-128.27255</v>
      </c>
      <c r="L15" s="240">
        <f>('[1]MAINTENANCE BUDGET'!I23+'[1]2026 Mktg Budget - Breakdown '!G54-'[1]2026 Mktg Budget - Breakdown '!G53)/-1000</f>
        <v>-513.09019999999998</v>
      </c>
      <c r="M15" s="240"/>
      <c r="N15" s="245">
        <f t="shared" si="1"/>
        <v>3.2858552131771299</v>
      </c>
    </row>
    <row r="16" spans="2:15" x14ac:dyDescent="0.35">
      <c r="B16" s="10" t="s">
        <v>93</v>
      </c>
      <c r="C16" s="209">
        <v>-57.65</v>
      </c>
      <c r="D16" s="209">
        <v>-35.700000000000003</v>
      </c>
      <c r="E16" s="237">
        <f t="shared" si="0"/>
        <v>0.61484593837534995</v>
      </c>
      <c r="F16" s="238"/>
      <c r="G16" s="228"/>
      <c r="H16" s="239">
        <f t="shared" si="3"/>
        <v>-181.982</v>
      </c>
      <c r="I16" s="239">
        <f t="shared" si="2"/>
        <v>-181.982</v>
      </c>
      <c r="J16" s="239">
        <f t="shared" si="2"/>
        <v>-181.982</v>
      </c>
      <c r="K16" s="239">
        <f t="shared" si="2"/>
        <v>-181.982</v>
      </c>
      <c r="L16" s="240">
        <f>-('[1]Recurrent cost apportionment'!F171-10000)/1000</f>
        <v>-727.928</v>
      </c>
      <c r="M16" s="238"/>
      <c r="N16" s="241">
        <f t="shared" si="1"/>
        <v>11.626678230702515</v>
      </c>
    </row>
    <row r="17" spans="1:14" s="197" customFormat="1" x14ac:dyDescent="0.35">
      <c r="B17" s="4" t="s">
        <v>94</v>
      </c>
      <c r="C17" s="205">
        <f>-200000/1000</f>
        <v>-200</v>
      </c>
      <c r="D17" s="205">
        <v>-167.61744999999999</v>
      </c>
      <c r="E17" s="237">
        <f t="shared" si="0"/>
        <v>0.19319319080441799</v>
      </c>
      <c r="F17" s="240"/>
      <c r="G17" s="243"/>
      <c r="H17" s="244">
        <f>L17/4</f>
        <v>-200.00000009999999</v>
      </c>
      <c r="I17" s="244">
        <f>L17/4</f>
        <v>-200.00000009999999</v>
      </c>
      <c r="J17" s="244">
        <f>L17/4</f>
        <v>-200.00000009999999</v>
      </c>
      <c r="K17" s="244">
        <f>L17/4</f>
        <v>-200.00000009999999</v>
      </c>
      <c r="L17" s="240">
        <f>('[1]ADMINISTRATIVE BUDGET'!J103)/1000*-1</f>
        <v>-800.00000039999998</v>
      </c>
      <c r="M17" s="240"/>
      <c r="N17" s="245">
        <f t="shared" si="1"/>
        <v>3.0000000020000002</v>
      </c>
    </row>
    <row r="18" spans="1:14" x14ac:dyDescent="0.35">
      <c r="B18" s="10" t="s">
        <v>95</v>
      </c>
      <c r="C18" s="209">
        <f>-45670/1000</f>
        <v>-45.67</v>
      </c>
      <c r="D18" s="209">
        <v>-221.99918360199999</v>
      </c>
      <c r="E18" s="237">
        <f t="shared" si="0"/>
        <v>-0.7942785227450333</v>
      </c>
      <c r="F18" s="238"/>
      <c r="G18" s="228"/>
      <c r="H18" s="239">
        <f t="shared" si="3"/>
        <v>0</v>
      </c>
      <c r="I18" s="239">
        <f t="shared" si="2"/>
        <v>0</v>
      </c>
      <c r="J18" s="239">
        <f t="shared" si="2"/>
        <v>0</v>
      </c>
      <c r="K18" s="239">
        <f t="shared" si="2"/>
        <v>0</v>
      </c>
      <c r="L18" s="240">
        <f>'[1]Recurrent cost apportionment'!F200/-1000</f>
        <v>0</v>
      </c>
      <c r="M18" s="238"/>
      <c r="N18" s="241">
        <f t="shared" si="1"/>
        <v>-1</v>
      </c>
    </row>
    <row r="19" spans="1:14" x14ac:dyDescent="0.35">
      <c r="B19" s="10" t="s">
        <v>96</v>
      </c>
      <c r="C19" s="209">
        <f>-1650484.63/1000</f>
        <v>-1650.4846299999999</v>
      </c>
      <c r="D19" s="209">
        <v>-1200</v>
      </c>
      <c r="E19" s="237">
        <f t="shared" si="0"/>
        <v>0.37540385833333323</v>
      </c>
      <c r="F19" s="238"/>
      <c r="G19" s="228"/>
      <c r="H19" s="239">
        <f t="shared" si="3"/>
        <v>-573.37202362024993</v>
      </c>
      <c r="I19" s="239">
        <f t="shared" si="2"/>
        <v>-573.37202362024993</v>
      </c>
      <c r="J19" s="239">
        <f t="shared" si="2"/>
        <v>-573.37202362024993</v>
      </c>
      <c r="K19" s="239">
        <f t="shared" si="2"/>
        <v>-573.37202362024993</v>
      </c>
      <c r="L19" s="240">
        <f>-'[1]OTHER ADMIN EXPENSES GOB (2)'!D10/1000</f>
        <v>-2293.4880944809997</v>
      </c>
      <c r="M19" s="238"/>
      <c r="N19" s="241">
        <f t="shared" si="1"/>
        <v>0.38958464247013302</v>
      </c>
    </row>
    <row r="20" spans="1:14" x14ac:dyDescent="0.35">
      <c r="B20" s="10" t="s">
        <v>97</v>
      </c>
      <c r="C20" s="209">
        <f>-651294.22/1000</f>
        <v>-651.29422</v>
      </c>
      <c r="D20" s="209">
        <v>-485.59871246599999</v>
      </c>
      <c r="E20" s="237">
        <f t="shared" si="0"/>
        <v>0.34121900095771251</v>
      </c>
      <c r="F20" s="238"/>
      <c r="G20" s="228"/>
      <c r="H20" s="239">
        <f t="shared" si="3"/>
        <v>-150</v>
      </c>
      <c r="I20" s="239">
        <f t="shared" si="2"/>
        <v>-150</v>
      </c>
      <c r="J20" s="239">
        <f t="shared" si="2"/>
        <v>-150</v>
      </c>
      <c r="K20" s="239">
        <f t="shared" si="2"/>
        <v>-150</v>
      </c>
      <c r="L20" s="240">
        <f>('[1]Recurrent cost apportionment'!F170+600000)/1000*-1</f>
        <v>-600</v>
      </c>
      <c r="M20" s="238"/>
      <c r="N20" s="241">
        <f t="shared" si="1"/>
        <v>-7.8757370209734057E-2</v>
      </c>
    </row>
    <row r="21" spans="1:14" s="197" customFormat="1" x14ac:dyDescent="0.35">
      <c r="B21" s="4" t="s">
        <v>98</v>
      </c>
      <c r="C21" s="205">
        <f>-153142.96/1000</f>
        <v>-153.14295999999999</v>
      </c>
      <c r="D21" s="205">
        <v>-90.640181999999996</v>
      </c>
      <c r="E21" s="237">
        <f t="shared" si="0"/>
        <v>0.68957030558477905</v>
      </c>
      <c r="F21" s="240"/>
      <c r="G21" s="243"/>
      <c r="H21" s="244">
        <f t="shared" si="3"/>
        <v>0</v>
      </c>
      <c r="I21" s="244">
        <f t="shared" si="2"/>
        <v>0</v>
      </c>
      <c r="J21" s="244">
        <f t="shared" si="2"/>
        <v>0</v>
      </c>
      <c r="K21" s="244">
        <f t="shared" si="2"/>
        <v>0</v>
      </c>
      <c r="L21" s="240">
        <f>('[1]Recurrent cost apportionment'!F160)/1000*-1</f>
        <v>0</v>
      </c>
      <c r="M21" s="240"/>
      <c r="N21" s="241">
        <f t="shared" si="1"/>
        <v>-1</v>
      </c>
    </row>
    <row r="22" spans="1:14" s="197" customFormat="1" x14ac:dyDescent="0.35">
      <c r="B22" s="4" t="s">
        <v>99</v>
      </c>
      <c r="C22" s="205">
        <f>-4623538.15/1000</f>
        <v>-4623.5381500000003</v>
      </c>
      <c r="D22" s="205">
        <v>-7456.8995970000014</v>
      </c>
      <c r="E22" s="242">
        <f t="shared" si="0"/>
        <v>-0.37996507933939405</v>
      </c>
      <c r="F22" s="240"/>
      <c r="G22" s="243"/>
      <c r="H22" s="244">
        <f t="shared" si="3"/>
        <v>-2316.2816961757007</v>
      </c>
      <c r="I22" s="244">
        <f t="shared" si="2"/>
        <v>-2316.2816961757007</v>
      </c>
      <c r="J22" s="244">
        <f t="shared" si="2"/>
        <v>-2316.2816961757007</v>
      </c>
      <c r="K22" s="244">
        <f t="shared" si="2"/>
        <v>-2316.2816961757007</v>
      </c>
      <c r="L22" s="240">
        <f>-('[1]OTHER ADMIN EXPENSES GOB (2)'!D12-'[1]ADMINISTRATIVE BUDGET'!J88)/1000</f>
        <v>-9265.126784702803</v>
      </c>
      <c r="M22" s="240"/>
      <c r="N22" s="245">
        <f t="shared" si="1"/>
        <v>1.003904041475856</v>
      </c>
    </row>
    <row r="23" spans="1:14" x14ac:dyDescent="0.35">
      <c r="B23" s="10" t="s">
        <v>77</v>
      </c>
      <c r="C23" s="209">
        <v>-3.17</v>
      </c>
      <c r="D23" s="209">
        <v>-6.3962500000000002</v>
      </c>
      <c r="E23" s="237">
        <f t="shared" si="0"/>
        <v>-0.50439710768028145</v>
      </c>
      <c r="F23" s="238"/>
      <c r="G23" s="228"/>
      <c r="H23" s="239">
        <f t="shared" si="3"/>
        <v>0</v>
      </c>
      <c r="I23" s="239">
        <f t="shared" si="2"/>
        <v>0</v>
      </c>
      <c r="J23" s="239">
        <f t="shared" si="2"/>
        <v>0</v>
      </c>
      <c r="K23" s="239">
        <f t="shared" si="2"/>
        <v>0</v>
      </c>
      <c r="L23" s="240">
        <f>-'[1]Recurrent cost apportionment'!F174/1000</f>
        <v>0</v>
      </c>
      <c r="M23" s="238"/>
      <c r="N23" s="241">
        <f t="shared" si="1"/>
        <v>-1</v>
      </c>
    </row>
    <row r="24" spans="1:14" s="197" customFormat="1" x14ac:dyDescent="0.35">
      <c r="B24" s="4" t="s">
        <v>100</v>
      </c>
      <c r="C24" s="205">
        <v>-59.536250000000003</v>
      </c>
      <c r="D24" s="205">
        <v>-67.155341399999983</v>
      </c>
      <c r="E24" s="237">
        <f t="shared" si="0"/>
        <v>-0.11345473407123474</v>
      </c>
      <c r="F24" s="240"/>
      <c r="G24" s="243"/>
      <c r="H24" s="244">
        <f t="shared" si="3"/>
        <v>0</v>
      </c>
      <c r="I24" s="244">
        <f t="shared" si="2"/>
        <v>0</v>
      </c>
      <c r="J24" s="244">
        <f t="shared" si="2"/>
        <v>0</v>
      </c>
      <c r="K24" s="244">
        <f t="shared" si="2"/>
        <v>0</v>
      </c>
      <c r="L24" s="240">
        <f>-'[1]Recurrent cost apportionment'!F160/1000</f>
        <v>0</v>
      </c>
      <c r="M24" s="240"/>
      <c r="N24" s="245">
        <f t="shared" si="1"/>
        <v>-1</v>
      </c>
    </row>
    <row r="25" spans="1:14" x14ac:dyDescent="0.35">
      <c r="A25" s="10"/>
      <c r="B25" s="10" t="s">
        <v>101</v>
      </c>
      <c r="C25" s="209">
        <f>-353570.37/1000</f>
        <v>-353.57036999999997</v>
      </c>
      <c r="D25" s="209">
        <v>-88.306640000000002</v>
      </c>
      <c r="E25" s="237">
        <f t="shared" si="0"/>
        <v>3.0038933652101356</v>
      </c>
      <c r="F25" s="238"/>
      <c r="G25" s="228"/>
      <c r="H25" s="239">
        <f t="shared" si="3"/>
        <v>-114.426</v>
      </c>
      <c r="I25" s="239">
        <f t="shared" si="2"/>
        <v>-114.426</v>
      </c>
      <c r="J25" s="239">
        <f t="shared" si="2"/>
        <v>-114.426</v>
      </c>
      <c r="K25" s="239">
        <f t="shared" si="2"/>
        <v>-114.426</v>
      </c>
      <c r="L25" s="240">
        <f>('[1]Recurrent cost apportionment'!F175+'[1]OTHER ADMIN EXPENSES GOB (2)'!D13)/-1000</f>
        <v>-457.70400000000001</v>
      </c>
      <c r="M25" s="238"/>
      <c r="N25" s="241">
        <f t="shared" si="1"/>
        <v>0.29452023935150451</v>
      </c>
    </row>
    <row r="26" spans="1:14" s="197" customFormat="1" ht="14.45" customHeight="1" x14ac:dyDescent="0.35">
      <c r="A26" s="4"/>
      <c r="B26" s="4" t="s">
        <v>102</v>
      </c>
      <c r="C26" s="205">
        <f>-750710.67/1000</f>
        <v>-750.71067000000005</v>
      </c>
      <c r="D26" s="246" t="s">
        <v>103</v>
      </c>
      <c r="E26" s="242" t="s">
        <v>103</v>
      </c>
      <c r="F26" s="240"/>
      <c r="G26" s="243"/>
      <c r="H26" s="244">
        <f t="shared" si="3"/>
        <v>-801.99350000000004</v>
      </c>
      <c r="I26" s="244">
        <f t="shared" si="2"/>
        <v>-801.99350000000004</v>
      </c>
      <c r="J26" s="244">
        <f t="shared" si="2"/>
        <v>-801.99350000000004</v>
      </c>
      <c r="K26" s="244">
        <f t="shared" si="2"/>
        <v>-801.99350000000004</v>
      </c>
      <c r="L26" s="240">
        <f>('[1]ADMINISTRATIVE BUDGET'!K80*0.7)/-1000</f>
        <v>-3207.9740000000002</v>
      </c>
      <c r="M26" s="240"/>
      <c r="N26" s="245">
        <f t="shared" si="1"/>
        <v>3.273249506364416</v>
      </c>
    </row>
    <row r="27" spans="1:14" x14ac:dyDescent="0.35">
      <c r="A27" s="10"/>
      <c r="B27" s="10" t="s">
        <v>104</v>
      </c>
      <c r="C27" s="209">
        <f>-319-15</f>
        <v>-334</v>
      </c>
      <c r="D27" s="209">
        <v>-91</v>
      </c>
      <c r="E27" s="247">
        <f t="shared" ref="E27:E34" si="4">C27/D27-1</f>
        <v>2.6703296703296702</v>
      </c>
      <c r="F27" s="238"/>
      <c r="G27" s="228"/>
      <c r="H27" s="239">
        <f t="shared" si="3"/>
        <v>-892.66079000000002</v>
      </c>
      <c r="I27" s="239">
        <f t="shared" si="2"/>
        <v>-892.66079000000002</v>
      </c>
      <c r="J27" s="239">
        <f t="shared" si="2"/>
        <v>-892.66079000000002</v>
      </c>
      <c r="K27" s="239">
        <f t="shared" si="2"/>
        <v>-892.66079000000002</v>
      </c>
      <c r="L27" s="240">
        <f>('[1]2026 Mktg Budget - Breakdown '!G11+'[1]2026 Mktg Budget - Breakdown '!G10+'[1]ADMINISTRATIVE BUDGET'!J101+'[1]ADMINISTRATIVE BUDGET'!J102+'[1]2026 Mktg Budget - Breakdown '!G12+1456.36+100-1800000)/-1000</f>
        <v>-3570.6431600000001</v>
      </c>
      <c r="M27" s="238"/>
      <c r="N27" s="241">
        <f t="shared" si="1"/>
        <v>9.6905483832335335</v>
      </c>
    </row>
    <row r="28" spans="1:14" x14ac:dyDescent="0.35">
      <c r="A28" s="10"/>
      <c r="B28" s="10" t="s">
        <v>105</v>
      </c>
      <c r="C28" s="209">
        <v>-200</v>
      </c>
      <c r="D28" s="209">
        <v>-295.54527029999997</v>
      </c>
      <c r="E28" s="247">
        <f t="shared" si="4"/>
        <v>-0.32328472116307105</v>
      </c>
      <c r="F28" s="238"/>
      <c r="G28" s="222"/>
      <c r="H28" s="239">
        <f t="shared" si="3"/>
        <v>-83.567925000000002</v>
      </c>
      <c r="I28" s="239">
        <f t="shared" si="2"/>
        <v>-83.567925000000002</v>
      </c>
      <c r="J28" s="239">
        <f t="shared" si="2"/>
        <v>-83.567925000000002</v>
      </c>
      <c r="K28" s="239">
        <f t="shared" si="2"/>
        <v>-83.567925000000002</v>
      </c>
      <c r="L28" s="240">
        <f>-+'[1]OTHER ADMIN EXPENSES GOB (2)'!D14/1000</f>
        <v>-334.27170000000001</v>
      </c>
      <c r="M28" s="248"/>
      <c r="N28" s="241">
        <f t="shared" si="1"/>
        <v>0.67135849999999997</v>
      </c>
    </row>
    <row r="29" spans="1:14" ht="1.8" hidden="1" customHeight="1" x14ac:dyDescent="0.35">
      <c r="A29" s="10"/>
      <c r="B29" s="10" t="s">
        <v>106</v>
      </c>
      <c r="C29" s="209">
        <v>0</v>
      </c>
      <c r="D29" s="209"/>
      <c r="E29" s="247" t="e">
        <f t="shared" si="4"/>
        <v>#DIV/0!</v>
      </c>
      <c r="F29" s="238"/>
      <c r="G29" s="222"/>
      <c r="H29" s="239">
        <f t="shared" si="3"/>
        <v>0</v>
      </c>
      <c r="I29" s="239">
        <f t="shared" si="2"/>
        <v>0</v>
      </c>
      <c r="J29" s="239">
        <f t="shared" si="2"/>
        <v>0</v>
      </c>
      <c r="K29" s="239">
        <f t="shared" si="2"/>
        <v>0</v>
      </c>
      <c r="L29" s="240"/>
      <c r="M29" s="248"/>
      <c r="N29" s="241" t="e">
        <f t="shared" si="1"/>
        <v>#DIV/0!</v>
      </c>
    </row>
    <row r="30" spans="1:14" ht="12" customHeight="1" x14ac:dyDescent="0.35">
      <c r="A30" s="10"/>
      <c r="B30" s="10" t="s">
        <v>107</v>
      </c>
      <c r="C30" s="209">
        <f>-43482.97/1000</f>
        <v>-43.482970000000002</v>
      </c>
      <c r="D30" s="209">
        <v>-73.267494999999997</v>
      </c>
      <c r="E30" s="247">
        <f t="shared" si="4"/>
        <v>-0.40651758327482057</v>
      </c>
      <c r="F30" s="238"/>
      <c r="G30" s="222"/>
      <c r="H30" s="239">
        <f t="shared" si="3"/>
        <v>-154.3960412575</v>
      </c>
      <c r="I30" s="239">
        <f t="shared" si="2"/>
        <v>-154.3960412575</v>
      </c>
      <c r="J30" s="239">
        <f t="shared" si="2"/>
        <v>-154.3960412575</v>
      </c>
      <c r="K30" s="239">
        <f t="shared" si="2"/>
        <v>-154.3960412575</v>
      </c>
      <c r="L30" s="240">
        <f>-('[1]Recurrent cost apportionment'!F104+'[1]Recurrent cost apportionment'!F102+'[1]HSSE BUDGET-2026'!K76)/1000</f>
        <v>-617.58416503000001</v>
      </c>
      <c r="M30" s="248"/>
      <c r="N30" s="241">
        <f t="shared" si="1"/>
        <v>13.202897479863955</v>
      </c>
    </row>
    <row r="31" spans="1:14" x14ac:dyDescent="0.35">
      <c r="A31" s="10"/>
      <c r="B31" s="10" t="s">
        <v>108</v>
      </c>
      <c r="C31" s="209">
        <f>-216756.27/1000</f>
        <v>-216.75627</v>
      </c>
      <c r="D31" s="209">
        <v>-4314.7826497003171</v>
      </c>
      <c r="E31" s="247">
        <f t="shared" si="4"/>
        <v>-0.94976426680146797</v>
      </c>
      <c r="F31" s="238"/>
      <c r="G31" s="222"/>
      <c r="H31" s="239">
        <f>$L$31/4</f>
        <v>-24.665086413553535</v>
      </c>
      <c r="I31" s="239">
        <f t="shared" ref="I31:K31" si="5">$L$31/4</f>
        <v>-24.665086413553535</v>
      </c>
      <c r="J31" s="239">
        <f t="shared" si="5"/>
        <v>-24.665086413553535</v>
      </c>
      <c r="K31" s="239">
        <f t="shared" si="5"/>
        <v>-24.665086413553535</v>
      </c>
      <c r="L31" s="240">
        <f>'[1]WORKINGS FOR OTHER ADMIN BUDGET'!B27/-1000</f>
        <v>-98.66034565421414</v>
      </c>
      <c r="M31" s="248"/>
      <c r="N31" s="241">
        <f t="shared" si="1"/>
        <v>-0.54483279466742007</v>
      </c>
    </row>
    <row r="32" spans="1:14" x14ac:dyDescent="0.35">
      <c r="A32" s="10"/>
      <c r="B32" s="10" t="s">
        <v>109</v>
      </c>
      <c r="C32" s="209">
        <f>-1448622/1000</f>
        <v>-1448.6220000000001</v>
      </c>
      <c r="D32" s="209">
        <v>-9000</v>
      </c>
      <c r="E32" s="247">
        <f t="shared" si="4"/>
        <v>-0.83904199999999995</v>
      </c>
      <c r="F32" s="238"/>
      <c r="G32" s="222"/>
      <c r="H32" s="239">
        <f>$L$32/4</f>
        <v>-109.742430402934</v>
      </c>
      <c r="I32" s="239">
        <f t="shared" ref="I32:K32" si="6">$L$32/4</f>
        <v>-109.742430402934</v>
      </c>
      <c r="J32" s="239">
        <f t="shared" si="6"/>
        <v>-109.742430402934</v>
      </c>
      <c r="K32" s="239">
        <f t="shared" si="6"/>
        <v>-109.742430402934</v>
      </c>
      <c r="L32" s="240">
        <f>('[1]WORKINGS FOR OTHER ADMIN BUDGET'!B46*0.7)/1000</f>
        <v>-438.96972161173602</v>
      </c>
      <c r="M32" s="248"/>
      <c r="N32" s="241">
        <f t="shared" si="1"/>
        <v>-0.69697428203372858</v>
      </c>
    </row>
    <row r="33" spans="1:14" x14ac:dyDescent="0.35">
      <c r="A33" s="10"/>
      <c r="B33" s="10" t="s">
        <v>110</v>
      </c>
      <c r="C33" s="239">
        <f>-1747984.36/1000</f>
        <v>-1747.9843600000002</v>
      </c>
      <c r="D33" s="239">
        <v>-2098.1322781795216</v>
      </c>
      <c r="E33" s="247">
        <f t="shared" si="4"/>
        <v>-0.16688553044107057</v>
      </c>
      <c r="F33" s="239"/>
      <c r="G33" s="222"/>
      <c r="H33" s="239">
        <f>L33/4</f>
        <v>-938.06815290996076</v>
      </c>
      <c r="I33" s="239">
        <f>L33/4</f>
        <v>-938.06815290996076</v>
      </c>
      <c r="J33" s="239">
        <f>L33/4</f>
        <v>-938.06815290996076</v>
      </c>
      <c r="K33" s="239">
        <f>L33/4</f>
        <v>-938.06815290996076</v>
      </c>
      <c r="L33" s="240">
        <f>('[1]DEPRECIATION WORKINGS'!E14+'[1]DEPRECIATION WORKINGS'!F14+'[1]DEPRECIATION WORKINGS'!G14+'[1]DEPRECIATION WORKINGS'!I14+'[1]DEPRECIATION WORKINGS'!E28)/-1000</f>
        <v>-3752.272611639843</v>
      </c>
      <c r="M33" s="248"/>
      <c r="N33" s="241">
        <f t="shared" si="1"/>
        <v>1.1466282522343865</v>
      </c>
    </row>
    <row r="34" spans="1:14" ht="12" thickBot="1" x14ac:dyDescent="0.4">
      <c r="A34" s="10"/>
      <c r="B34" s="249" t="s">
        <v>111</v>
      </c>
      <c r="C34" s="250">
        <f>SUM(C9:C33)</f>
        <v>-15643.180289999997</v>
      </c>
      <c r="D34" s="250">
        <f>SUM(D9:D33)</f>
        <v>-34047.010619672597</v>
      </c>
      <c r="E34" s="251">
        <f t="shared" si="4"/>
        <v>-0.54054173904591618</v>
      </c>
      <c r="F34" s="250"/>
      <c r="G34" s="250"/>
      <c r="H34" s="252">
        <f>SUM(H9:H33)</f>
        <v>-9215.7246005412562</v>
      </c>
      <c r="I34" s="252">
        <f>SUM(I9:I33)</f>
        <v>-9215.7246005412562</v>
      </c>
      <c r="J34" s="252">
        <f>SUM(J9:J33)</f>
        <v>-9215.7246005412562</v>
      </c>
      <c r="K34" s="252">
        <f>SUM(K9:K33)</f>
        <v>-9215.7246005412562</v>
      </c>
      <c r="L34" s="252">
        <f>SUM(L9:L33)</f>
        <v>-36862.898402165025</v>
      </c>
      <c r="M34" s="229"/>
      <c r="N34" s="253">
        <f t="shared" si="1"/>
        <v>1.3564836381595544</v>
      </c>
    </row>
    <row r="35" spans="1:14" x14ac:dyDescent="0.35">
      <c r="A35" s="10"/>
      <c r="B35" s="10"/>
      <c r="C35" s="239"/>
      <c r="D35" s="239"/>
      <c r="E35" s="239"/>
      <c r="F35" s="239"/>
      <c r="G35" s="222"/>
      <c r="H35" s="254"/>
      <c r="I35" s="254"/>
      <c r="J35" s="254"/>
      <c r="K35" s="254"/>
      <c r="L35" s="255"/>
      <c r="M35" s="248"/>
      <c r="N35" s="256"/>
    </row>
    <row r="36" spans="1:14" x14ac:dyDescent="0.35">
      <c r="A36" s="10"/>
      <c r="B36" s="10"/>
      <c r="C36" s="239"/>
      <c r="D36" s="239"/>
      <c r="E36" s="239"/>
      <c r="F36" s="239"/>
      <c r="G36" s="222"/>
      <c r="H36" s="254"/>
      <c r="I36" s="254"/>
      <c r="J36" s="254"/>
      <c r="K36" s="254"/>
      <c r="L36" s="255"/>
      <c r="M36" s="248"/>
      <c r="N36" s="256"/>
    </row>
    <row r="37" spans="1:14" x14ac:dyDescent="0.35">
      <c r="A37" s="10"/>
      <c r="B37" s="10"/>
      <c r="C37" s="239"/>
      <c r="D37" s="239"/>
      <c r="E37" s="239"/>
      <c r="F37" s="239"/>
      <c r="G37" s="222"/>
      <c r="H37" s="254"/>
      <c r="I37" s="254"/>
      <c r="J37" s="254"/>
      <c r="K37" s="254"/>
      <c r="L37" s="255"/>
      <c r="M37" s="248"/>
      <c r="N37" s="256"/>
    </row>
    <row r="38" spans="1:14" x14ac:dyDescent="0.35">
      <c r="A38" s="10"/>
      <c r="B38" s="10"/>
      <c r="C38" s="239"/>
      <c r="D38" s="239"/>
      <c r="E38" s="239"/>
      <c r="F38" s="239"/>
      <c r="G38" s="222"/>
      <c r="H38" s="254"/>
      <c r="I38" s="254"/>
      <c r="J38" s="254"/>
      <c r="K38" s="254"/>
      <c r="L38" s="255"/>
      <c r="M38" s="248"/>
      <c r="N38" s="256"/>
    </row>
    <row r="39" spans="1:14" x14ac:dyDescent="0.35">
      <c r="A39" s="10"/>
      <c r="B39" s="10"/>
      <c r="C39" s="239"/>
      <c r="D39" s="239"/>
      <c r="E39" s="239"/>
      <c r="F39" s="239"/>
      <c r="G39" s="222"/>
      <c r="H39" s="254"/>
      <c r="I39" s="254"/>
      <c r="J39" s="254"/>
      <c r="K39" s="254"/>
      <c r="L39" s="255"/>
      <c r="M39" s="248"/>
      <c r="N39" s="256"/>
    </row>
    <row r="40" spans="1:14" x14ac:dyDescent="0.35">
      <c r="A40" s="10"/>
      <c r="B40" s="10"/>
      <c r="C40" s="239"/>
      <c r="D40" s="239"/>
      <c r="E40" s="239"/>
      <c r="F40" s="239"/>
      <c r="G40" s="222"/>
      <c r="H40" s="254"/>
      <c r="I40" s="254"/>
      <c r="J40" s="254"/>
      <c r="K40" s="254"/>
      <c r="L40" s="255"/>
      <c r="M40" s="248"/>
      <c r="N40" s="256"/>
    </row>
    <row r="41" spans="1:14" x14ac:dyDescent="0.35">
      <c r="A41" s="10"/>
      <c r="B41" s="10"/>
      <c r="C41" s="239"/>
      <c r="D41" s="239"/>
      <c r="E41" s="239"/>
      <c r="F41" s="239"/>
      <c r="G41" s="222"/>
      <c r="H41" s="254"/>
      <c r="I41" s="254"/>
      <c r="J41" s="254"/>
      <c r="K41" s="254"/>
      <c r="L41" s="255"/>
      <c r="M41" s="248"/>
      <c r="N41" s="256"/>
    </row>
    <row r="42" spans="1:14" x14ac:dyDescent="0.35">
      <c r="A42" s="10"/>
      <c r="B42" s="10"/>
      <c r="C42" s="239"/>
      <c r="D42" s="239"/>
      <c r="E42" s="239"/>
      <c r="F42" s="239"/>
      <c r="G42" s="222"/>
      <c r="H42" s="254"/>
      <c r="I42" s="254"/>
      <c r="J42" s="254"/>
      <c r="K42" s="254"/>
      <c r="L42" s="255"/>
      <c r="M42" s="248"/>
      <c r="N42" s="256"/>
    </row>
    <row r="43" spans="1:14" x14ac:dyDescent="0.35">
      <c r="A43" s="10"/>
      <c r="B43" s="10"/>
      <c r="C43" s="239"/>
      <c r="D43" s="239"/>
      <c r="E43" s="239"/>
      <c r="F43" s="239"/>
      <c r="G43" s="222"/>
      <c r="H43" s="254"/>
      <c r="I43" s="254"/>
      <c r="J43" s="254"/>
      <c r="K43" s="254"/>
      <c r="L43" s="255"/>
      <c r="M43" s="248"/>
      <c r="N43" s="256"/>
    </row>
    <row r="44" spans="1:14" x14ac:dyDescent="0.35">
      <c r="A44" s="10"/>
      <c r="B44" s="10"/>
      <c r="C44" s="239"/>
      <c r="D44" s="239"/>
      <c r="E44" s="239"/>
      <c r="F44" s="239"/>
      <c r="G44" s="222"/>
      <c r="H44" s="254"/>
      <c r="I44" s="254"/>
      <c r="J44" s="254"/>
      <c r="K44" s="254"/>
      <c r="L44" s="255"/>
      <c r="M44" s="248"/>
      <c r="N44" s="256"/>
    </row>
    <row r="45" spans="1:14" x14ac:dyDescent="0.35">
      <c r="A45" s="10"/>
      <c r="B45" s="10"/>
      <c r="C45" s="239"/>
      <c r="D45" s="239"/>
      <c r="E45" s="239"/>
      <c r="F45" s="239"/>
      <c r="G45" s="222"/>
      <c r="H45" s="254"/>
      <c r="I45" s="254"/>
      <c r="J45" s="254"/>
      <c r="K45" s="254"/>
      <c r="L45" s="255"/>
      <c r="M45" s="248"/>
      <c r="N45" s="256"/>
    </row>
    <row r="46" spans="1:14" x14ac:dyDescent="0.35">
      <c r="A46" s="10"/>
      <c r="B46" s="10"/>
      <c r="C46" s="239"/>
      <c r="D46" s="239"/>
      <c r="E46" s="239"/>
      <c r="F46" s="239"/>
      <c r="G46" s="222"/>
      <c r="H46" s="254"/>
      <c r="I46" s="254"/>
      <c r="J46" s="254"/>
      <c r="K46" s="254"/>
      <c r="L46" s="255"/>
      <c r="M46" s="248"/>
      <c r="N46" s="256"/>
    </row>
    <row r="47" spans="1:14" x14ac:dyDescent="0.35">
      <c r="A47" s="10"/>
      <c r="B47" s="10"/>
      <c r="C47" s="239"/>
      <c r="D47" s="239"/>
      <c r="E47" s="239"/>
      <c r="F47" s="239"/>
      <c r="G47" s="222"/>
      <c r="H47" s="254"/>
      <c r="I47" s="254"/>
      <c r="J47" s="254"/>
      <c r="K47" s="254"/>
      <c r="L47" s="255"/>
      <c r="M47" s="248"/>
      <c r="N47" s="256"/>
    </row>
    <row r="48" spans="1:14" x14ac:dyDescent="0.35">
      <c r="A48" s="10"/>
      <c r="B48" s="10"/>
      <c r="C48" s="239"/>
      <c r="D48" s="239"/>
      <c r="E48" s="239"/>
      <c r="F48" s="239"/>
      <c r="G48" s="222"/>
      <c r="H48" s="254"/>
      <c r="I48" s="254"/>
      <c r="J48" s="254"/>
      <c r="K48" s="254"/>
      <c r="L48" s="255"/>
      <c r="M48" s="248"/>
      <c r="N48" s="256"/>
    </row>
    <row r="49" spans="1:14" x14ac:dyDescent="0.35">
      <c r="A49" s="10"/>
      <c r="B49" s="10"/>
      <c r="C49" s="239"/>
      <c r="D49" s="239"/>
      <c r="E49" s="239"/>
      <c r="F49" s="239"/>
      <c r="G49" s="222"/>
      <c r="H49" s="254"/>
      <c r="I49" s="254"/>
      <c r="J49" s="254"/>
      <c r="K49" s="254"/>
      <c r="L49" s="255"/>
      <c r="M49" s="248"/>
      <c r="N49" s="256"/>
    </row>
    <row r="50" spans="1:14" x14ac:dyDescent="0.35">
      <c r="A50" s="10"/>
      <c r="B50" s="10"/>
      <c r="C50" s="239"/>
      <c r="D50" s="239"/>
      <c r="E50" s="239"/>
      <c r="F50" s="239"/>
      <c r="G50" s="222"/>
      <c r="H50" s="254"/>
      <c r="I50" s="254"/>
      <c r="J50" s="254"/>
      <c r="K50" s="254"/>
      <c r="L50" s="255"/>
      <c r="M50" s="248"/>
      <c r="N50" s="256"/>
    </row>
    <row r="51" spans="1:14" x14ac:dyDescent="0.35">
      <c r="A51" s="10"/>
      <c r="B51" s="10"/>
      <c r="C51" s="239"/>
      <c r="D51" s="239"/>
      <c r="E51" s="239"/>
      <c r="F51" s="239"/>
      <c r="G51" s="222"/>
      <c r="H51" s="254"/>
      <c r="I51" s="254"/>
      <c r="J51" s="254"/>
      <c r="K51" s="254"/>
      <c r="L51" s="255"/>
      <c r="M51" s="248"/>
      <c r="N51" s="256"/>
    </row>
    <row r="52" spans="1:14" x14ac:dyDescent="0.35">
      <c r="A52" s="10"/>
      <c r="B52" s="10"/>
      <c r="C52" s="239"/>
      <c r="D52" s="239"/>
      <c r="E52" s="239"/>
      <c r="F52" s="239"/>
      <c r="G52" s="222"/>
      <c r="H52" s="254"/>
      <c r="I52" s="254"/>
      <c r="J52" s="254"/>
      <c r="K52" s="254"/>
      <c r="L52" s="255"/>
      <c r="M52" s="248"/>
      <c r="N52" s="256"/>
    </row>
    <row r="53" spans="1:14" x14ac:dyDescent="0.35">
      <c r="A53" s="10"/>
      <c r="B53" s="10"/>
      <c r="C53" s="239"/>
      <c r="D53" s="239"/>
      <c r="E53" s="239"/>
      <c r="F53" s="239"/>
      <c r="G53" s="222"/>
      <c r="H53" s="254"/>
      <c r="I53" s="254"/>
      <c r="J53" s="254"/>
      <c r="K53" s="254"/>
      <c r="L53" s="255"/>
      <c r="M53" s="248"/>
      <c r="N53" s="256"/>
    </row>
    <row r="54" spans="1:14" x14ac:dyDescent="0.35">
      <c r="A54" s="10"/>
      <c r="B54" s="10"/>
      <c r="C54" s="239"/>
      <c r="D54" s="239"/>
      <c r="E54" s="239"/>
      <c r="F54" s="239"/>
      <c r="G54" s="222"/>
      <c r="H54" s="254"/>
      <c r="I54" s="254"/>
      <c r="J54" s="254"/>
      <c r="K54" s="254"/>
      <c r="L54" s="255"/>
      <c r="M54" s="248"/>
      <c r="N54" s="256"/>
    </row>
    <row r="55" spans="1:14" x14ac:dyDescent="0.35">
      <c r="A55" s="10"/>
      <c r="B55" s="10"/>
      <c r="C55" s="239"/>
      <c r="D55" s="239"/>
      <c r="E55" s="239"/>
      <c r="F55" s="239"/>
      <c r="G55" s="222"/>
      <c r="H55" s="254"/>
      <c r="I55" s="254"/>
      <c r="J55" s="254"/>
      <c r="K55" s="254"/>
      <c r="L55" s="255"/>
      <c r="M55" s="248"/>
      <c r="N55" s="256"/>
    </row>
    <row r="56" spans="1:14" x14ac:dyDescent="0.35">
      <c r="A56" s="10"/>
      <c r="B56" s="10"/>
      <c r="C56" s="239"/>
      <c r="D56" s="239"/>
      <c r="E56" s="239"/>
      <c r="F56" s="239"/>
      <c r="G56" s="222"/>
      <c r="H56" s="254"/>
      <c r="I56" s="254"/>
      <c r="J56" s="254"/>
      <c r="K56" s="254"/>
      <c r="L56" s="255"/>
      <c r="M56" s="248"/>
      <c r="N56" s="256"/>
    </row>
    <row r="57" spans="1:14" x14ac:dyDescent="0.35">
      <c r="A57" s="10"/>
      <c r="B57" s="10"/>
      <c r="C57" s="239"/>
      <c r="D57" s="239"/>
      <c r="E57" s="239"/>
      <c r="F57" s="239"/>
      <c r="G57" s="222"/>
      <c r="H57" s="254"/>
      <c r="I57" s="254"/>
      <c r="J57" s="254"/>
      <c r="K57" s="254"/>
      <c r="L57" s="255"/>
      <c r="M57" s="248"/>
      <c r="N57" s="256"/>
    </row>
    <row r="58" spans="1:14" x14ac:dyDescent="0.35">
      <c r="A58" s="10"/>
      <c r="B58" s="10"/>
      <c r="C58" s="239"/>
      <c r="D58" s="239"/>
      <c r="E58" s="239"/>
      <c r="F58" s="239"/>
      <c r="G58" s="222"/>
      <c r="H58" s="254"/>
      <c r="I58" s="254"/>
      <c r="J58" s="254"/>
      <c r="K58" s="254"/>
      <c r="L58" s="255"/>
      <c r="M58" s="248"/>
      <c r="N58" s="256"/>
    </row>
    <row r="59" spans="1:14" x14ac:dyDescent="0.35">
      <c r="A59" s="10"/>
      <c r="B59" s="10"/>
      <c r="C59" s="239"/>
      <c r="D59" s="239"/>
      <c r="E59" s="239"/>
      <c r="F59" s="239"/>
      <c r="G59" s="222"/>
      <c r="H59" s="254"/>
      <c r="I59" s="254"/>
      <c r="J59" s="254"/>
      <c r="K59" s="254"/>
      <c r="L59" s="255"/>
      <c r="M59" s="248"/>
      <c r="N59" s="256"/>
    </row>
    <row r="60" spans="1:14" x14ac:dyDescent="0.35">
      <c r="A60" s="10"/>
      <c r="B60" s="10"/>
      <c r="C60" s="239"/>
      <c r="D60" s="239"/>
      <c r="E60" s="239"/>
      <c r="F60" s="239"/>
      <c r="G60" s="222"/>
      <c r="H60" s="254"/>
      <c r="I60" s="254"/>
      <c r="J60" s="254"/>
      <c r="K60" s="254"/>
      <c r="L60" s="255"/>
      <c r="M60" s="248"/>
      <c r="N60" s="256"/>
    </row>
    <row r="61" spans="1:14" x14ac:dyDescent="0.35">
      <c r="A61" s="10"/>
      <c r="B61" s="10"/>
      <c r="C61" s="239"/>
      <c r="D61" s="239"/>
      <c r="E61" s="239"/>
      <c r="F61" s="239"/>
      <c r="G61" s="222"/>
      <c r="H61" s="254"/>
      <c r="I61" s="254"/>
      <c r="J61" s="254"/>
      <c r="K61" s="254"/>
      <c r="L61" s="255"/>
      <c r="M61" s="248"/>
      <c r="N61" s="256"/>
    </row>
    <row r="62" spans="1:14" x14ac:dyDescent="0.35">
      <c r="A62" s="10"/>
      <c r="B62" s="10"/>
      <c r="C62" s="239"/>
      <c r="D62" s="239"/>
      <c r="E62" s="239"/>
      <c r="F62" s="239"/>
      <c r="G62" s="222"/>
      <c r="H62" s="254"/>
      <c r="I62" s="254"/>
      <c r="J62" s="254"/>
      <c r="K62" s="254"/>
      <c r="L62" s="255"/>
      <c r="M62" s="248"/>
      <c r="N62" s="256"/>
    </row>
    <row r="63" spans="1:14" x14ac:dyDescent="0.35">
      <c r="A63" s="10"/>
      <c r="B63" s="10"/>
      <c r="C63" s="239"/>
      <c r="D63" s="239"/>
      <c r="E63" s="239"/>
      <c r="F63" s="239"/>
      <c r="G63" s="222"/>
      <c r="H63" s="254"/>
      <c r="I63" s="254"/>
      <c r="J63" s="254"/>
      <c r="K63" s="254"/>
      <c r="L63" s="255"/>
      <c r="M63" s="248"/>
      <c r="N63" s="256"/>
    </row>
    <row r="64" spans="1:14" x14ac:dyDescent="0.35">
      <c r="A64" s="10"/>
      <c r="B64" s="10"/>
      <c r="C64" s="239"/>
      <c r="D64" s="239"/>
      <c r="E64" s="239"/>
      <c r="F64" s="239"/>
      <c r="G64" s="222"/>
      <c r="H64" s="254"/>
      <c r="I64" s="254"/>
      <c r="J64" s="254"/>
      <c r="K64" s="254"/>
      <c r="L64" s="255"/>
      <c r="M64" s="248"/>
      <c r="N64" s="256"/>
    </row>
    <row r="65" spans="1:14" x14ac:dyDescent="0.35">
      <c r="A65" s="10"/>
      <c r="B65" s="10"/>
      <c r="C65" s="239"/>
      <c r="D65" s="239"/>
      <c r="E65" s="239"/>
      <c r="F65" s="239"/>
      <c r="G65" s="222"/>
      <c r="H65" s="254"/>
      <c r="I65" s="254"/>
      <c r="J65" s="254"/>
      <c r="K65" s="254"/>
      <c r="L65" s="255"/>
      <c r="M65" s="248"/>
      <c r="N65" s="256"/>
    </row>
    <row r="66" spans="1:14" x14ac:dyDescent="0.35">
      <c r="A66" s="10"/>
      <c r="B66" s="10"/>
      <c r="C66" s="239"/>
      <c r="D66" s="239"/>
      <c r="E66" s="239"/>
      <c r="F66" s="239"/>
      <c r="G66" s="222"/>
      <c r="H66" s="254"/>
      <c r="I66" s="254"/>
      <c r="J66" s="254"/>
      <c r="K66" s="254"/>
      <c r="L66" s="255"/>
      <c r="M66" s="248"/>
      <c r="N66" s="256"/>
    </row>
    <row r="67" spans="1:14" x14ac:dyDescent="0.35">
      <c r="A67" s="10"/>
      <c r="B67" s="10"/>
      <c r="C67" s="239"/>
      <c r="D67" s="239"/>
      <c r="E67" s="239"/>
      <c r="F67" s="239"/>
      <c r="G67" s="222"/>
      <c r="H67" s="254"/>
      <c r="I67" s="254"/>
      <c r="J67" s="254"/>
      <c r="K67" s="254"/>
      <c r="L67" s="255"/>
      <c r="M67" s="248"/>
      <c r="N67" s="256"/>
    </row>
    <row r="68" spans="1:14" x14ac:dyDescent="0.35">
      <c r="A68" s="10"/>
      <c r="B68" s="10"/>
      <c r="C68" s="239"/>
      <c r="D68" s="239"/>
      <c r="E68" s="239"/>
      <c r="F68" s="239"/>
      <c r="G68" s="222"/>
      <c r="H68" s="254"/>
      <c r="I68" s="254"/>
      <c r="J68" s="254"/>
      <c r="K68" s="254"/>
      <c r="L68" s="255"/>
      <c r="M68" s="248"/>
      <c r="N68" s="256"/>
    </row>
    <row r="69" spans="1:14" x14ac:dyDescent="0.35">
      <c r="A69" s="10"/>
      <c r="B69" s="10"/>
      <c r="C69" s="239"/>
      <c r="D69" s="239"/>
      <c r="E69" s="239"/>
      <c r="F69" s="239"/>
      <c r="G69" s="222"/>
      <c r="H69" s="254"/>
      <c r="I69" s="254"/>
      <c r="J69" s="254"/>
      <c r="K69" s="254"/>
      <c r="L69" s="255"/>
      <c r="M69" s="248"/>
      <c r="N69" s="256"/>
    </row>
    <row r="70" spans="1:14" x14ac:dyDescent="0.35">
      <c r="A70" s="10"/>
      <c r="B70" s="10"/>
      <c r="C70" s="239"/>
      <c r="D70" s="239"/>
      <c r="E70" s="239"/>
      <c r="F70" s="239"/>
      <c r="G70" s="222"/>
      <c r="H70" s="254"/>
      <c r="I70" s="254"/>
      <c r="J70" s="254"/>
      <c r="K70" s="254"/>
      <c r="L70" s="255"/>
      <c r="M70" s="248"/>
      <c r="N70" s="256"/>
    </row>
    <row r="71" spans="1:14" x14ac:dyDescent="0.35">
      <c r="A71" s="10"/>
      <c r="B71" s="10"/>
      <c r="C71" s="239"/>
      <c r="D71" s="239"/>
      <c r="E71" s="239"/>
      <c r="F71" s="239"/>
      <c r="G71" s="222"/>
      <c r="H71" s="254"/>
      <c r="I71" s="254"/>
      <c r="J71" s="254"/>
      <c r="K71" s="254"/>
      <c r="L71" s="255"/>
      <c r="M71" s="248"/>
      <c r="N71" s="256"/>
    </row>
    <row r="72" spans="1:14" x14ac:dyDescent="0.35">
      <c r="A72" s="10"/>
      <c r="B72" s="10"/>
      <c r="C72" s="239"/>
      <c r="D72" s="239"/>
      <c r="E72" s="239"/>
      <c r="F72" s="239"/>
      <c r="G72" s="222"/>
      <c r="H72" s="254"/>
      <c r="I72" s="254"/>
      <c r="J72" s="254"/>
      <c r="K72" s="254"/>
      <c r="L72" s="255"/>
      <c r="M72" s="248"/>
      <c r="N72" s="256"/>
    </row>
    <row r="73" spans="1:14" x14ac:dyDescent="0.35">
      <c r="A73" s="10"/>
      <c r="B73" s="10"/>
      <c r="C73" s="239"/>
      <c r="D73" s="239"/>
      <c r="E73" s="239"/>
      <c r="F73" s="239"/>
      <c r="G73" s="222"/>
      <c r="H73" s="254"/>
      <c r="I73" s="254"/>
      <c r="J73" s="254"/>
      <c r="K73" s="254"/>
      <c r="L73" s="255"/>
      <c r="M73" s="248"/>
      <c r="N73" s="256"/>
    </row>
    <row r="74" spans="1:14" x14ac:dyDescent="0.35">
      <c r="A74" s="10"/>
      <c r="B74" s="10"/>
      <c r="C74" s="239"/>
      <c r="D74" s="239"/>
      <c r="E74" s="239"/>
      <c r="F74" s="239"/>
      <c r="G74" s="222"/>
      <c r="H74" s="254"/>
      <c r="I74" s="254"/>
      <c r="J74" s="254"/>
      <c r="K74" s="254"/>
      <c r="L74" s="255"/>
      <c r="M74" s="248"/>
      <c r="N74" s="256"/>
    </row>
    <row r="75" spans="1:14" x14ac:dyDescent="0.35">
      <c r="A75" s="10"/>
      <c r="B75" s="10"/>
      <c r="C75" s="239"/>
      <c r="D75" s="239"/>
      <c r="E75" s="239"/>
      <c r="F75" s="239"/>
      <c r="G75" s="222"/>
      <c r="H75" s="254"/>
      <c r="I75" s="254"/>
      <c r="J75" s="254"/>
      <c r="K75" s="254"/>
      <c r="L75" s="255"/>
      <c r="M75" s="248"/>
      <c r="N75" s="256"/>
    </row>
    <row r="76" spans="1:14" x14ac:dyDescent="0.35">
      <c r="A76" s="10"/>
      <c r="B76" s="10"/>
      <c r="C76" s="239"/>
      <c r="D76" s="239"/>
      <c r="E76" s="239"/>
      <c r="F76" s="239"/>
      <c r="G76" s="222"/>
      <c r="H76" s="254"/>
      <c r="I76" s="254"/>
      <c r="J76" s="254"/>
      <c r="K76" s="254"/>
      <c r="L76" s="255"/>
      <c r="M76" s="248"/>
      <c r="N76" s="256"/>
    </row>
    <row r="77" spans="1:14" x14ac:dyDescent="0.35">
      <c r="A77" s="10"/>
      <c r="B77" s="10"/>
      <c r="C77" s="239"/>
      <c r="D77" s="239"/>
      <c r="E77" s="239"/>
      <c r="F77" s="239"/>
      <c r="G77" s="222"/>
      <c r="H77" s="254"/>
      <c r="I77" s="254"/>
      <c r="J77" s="254"/>
      <c r="K77" s="254"/>
      <c r="L77" s="255"/>
      <c r="M77" s="248"/>
      <c r="N77" s="256"/>
    </row>
    <row r="78" spans="1:14" x14ac:dyDescent="0.35">
      <c r="A78" s="10"/>
      <c r="B78" s="10"/>
      <c r="C78" s="239"/>
      <c r="D78" s="239"/>
      <c r="E78" s="239"/>
      <c r="F78" s="239"/>
      <c r="G78" s="222"/>
      <c r="H78" s="254"/>
      <c r="I78" s="254"/>
      <c r="J78" s="254"/>
      <c r="K78" s="254"/>
      <c r="L78" s="255"/>
      <c r="M78" s="248"/>
      <c r="N78" s="256"/>
    </row>
    <row r="79" spans="1:14" x14ac:dyDescent="0.35">
      <c r="A79" s="10"/>
      <c r="B79" s="10"/>
      <c r="C79" s="239"/>
      <c r="D79" s="239"/>
      <c r="E79" s="239"/>
      <c r="F79" s="239"/>
      <c r="G79" s="222"/>
      <c r="H79" s="254"/>
      <c r="I79" s="254"/>
      <c r="J79" s="254"/>
      <c r="K79" s="254"/>
      <c r="L79" s="255"/>
      <c r="M79" s="248"/>
      <c r="N79" s="256"/>
    </row>
    <row r="80" spans="1:14" x14ac:dyDescent="0.35">
      <c r="A80" s="10"/>
      <c r="B80" s="10"/>
      <c r="C80" s="239"/>
      <c r="D80" s="239"/>
      <c r="E80" s="239"/>
      <c r="F80" s="239"/>
      <c r="G80" s="222"/>
      <c r="H80" s="254"/>
      <c r="I80" s="254"/>
      <c r="J80" s="254"/>
      <c r="K80" s="254"/>
      <c r="L80" s="255"/>
      <c r="M80" s="248"/>
      <c r="N80" s="256"/>
    </row>
    <row r="81" spans="1:14" x14ac:dyDescent="0.35">
      <c r="A81" s="10"/>
      <c r="B81" s="10"/>
      <c r="C81" s="239"/>
      <c r="D81" s="239"/>
      <c r="E81" s="239"/>
      <c r="F81" s="239"/>
      <c r="G81" s="222"/>
      <c r="H81" s="254"/>
      <c r="I81" s="254"/>
      <c r="J81" s="254"/>
      <c r="K81" s="254"/>
      <c r="L81" s="255"/>
      <c r="M81" s="248"/>
      <c r="N81" s="256"/>
    </row>
    <row r="82" spans="1:14" x14ac:dyDescent="0.35">
      <c r="A82" s="10"/>
      <c r="B82" s="10"/>
      <c r="C82" s="239"/>
      <c r="D82" s="239"/>
      <c r="E82" s="239"/>
      <c r="F82" s="239"/>
      <c r="G82" s="222"/>
      <c r="H82" s="254"/>
      <c r="I82" s="254"/>
      <c r="J82" s="254"/>
      <c r="K82" s="254"/>
      <c r="L82" s="255"/>
      <c r="M82" s="248"/>
      <c r="N82" s="256"/>
    </row>
    <row r="83" spans="1:14" x14ac:dyDescent="0.35">
      <c r="A83" s="10"/>
      <c r="B83" s="10"/>
      <c r="C83" s="239"/>
      <c r="D83" s="239"/>
      <c r="E83" s="239"/>
      <c r="F83" s="239"/>
      <c r="G83" s="222"/>
      <c r="H83" s="254"/>
      <c r="I83" s="254"/>
      <c r="J83" s="254"/>
      <c r="K83" s="254"/>
      <c r="L83" s="255"/>
      <c r="M83" s="248"/>
      <c r="N83" s="256"/>
    </row>
    <row r="84" spans="1:14" x14ac:dyDescent="0.35">
      <c r="A84" s="10"/>
      <c r="B84" s="10"/>
      <c r="C84" s="239"/>
      <c r="D84" s="239"/>
      <c r="E84" s="239"/>
      <c r="F84" s="239"/>
      <c r="G84" s="222"/>
      <c r="H84" s="254"/>
      <c r="I84" s="254"/>
      <c r="J84" s="254"/>
      <c r="K84" s="254"/>
      <c r="L84" s="255"/>
      <c r="M84" s="248"/>
      <c r="N84" s="256"/>
    </row>
    <row r="85" spans="1:14" x14ac:dyDescent="0.35">
      <c r="A85" s="10"/>
      <c r="B85" s="10"/>
      <c r="C85" s="239"/>
      <c r="D85" s="239"/>
      <c r="E85" s="239"/>
      <c r="F85" s="239"/>
      <c r="G85" s="222"/>
      <c r="H85" s="254"/>
      <c r="I85" s="254"/>
      <c r="J85" s="254"/>
      <c r="K85" s="254"/>
      <c r="L85" s="255"/>
      <c r="M85" s="248"/>
      <c r="N85" s="256"/>
    </row>
    <row r="86" spans="1:14" x14ac:dyDescent="0.35">
      <c r="A86" s="10"/>
      <c r="B86" s="10"/>
      <c r="C86" s="239"/>
      <c r="D86" s="239"/>
      <c r="E86" s="239"/>
      <c r="F86" s="239"/>
      <c r="G86" s="222"/>
      <c r="H86" s="254"/>
      <c r="I86" s="254"/>
      <c r="J86" s="254"/>
      <c r="K86" s="254"/>
      <c r="L86" s="255"/>
      <c r="M86" s="248"/>
      <c r="N86" s="256"/>
    </row>
    <row r="87" spans="1:14" x14ac:dyDescent="0.35">
      <c r="A87" s="10"/>
      <c r="B87" s="10"/>
      <c r="C87" s="239"/>
      <c r="D87" s="239"/>
      <c r="E87" s="239"/>
      <c r="F87" s="239"/>
      <c r="G87" s="222"/>
      <c r="H87" s="254"/>
      <c r="I87" s="254"/>
      <c r="J87" s="254"/>
      <c r="K87" s="254"/>
      <c r="L87" s="255"/>
      <c r="M87" s="248"/>
      <c r="N87" s="256"/>
    </row>
    <row r="88" spans="1:14" x14ac:dyDescent="0.35">
      <c r="A88" s="10"/>
      <c r="B88" s="10"/>
      <c r="C88" s="239"/>
      <c r="D88" s="239"/>
      <c r="E88" s="239"/>
      <c r="F88" s="239"/>
      <c r="G88" s="222"/>
      <c r="H88" s="254"/>
      <c r="I88" s="254"/>
      <c r="J88" s="254"/>
      <c r="K88" s="254"/>
      <c r="L88" s="255"/>
      <c r="M88" s="248"/>
      <c r="N88" s="256"/>
    </row>
    <row r="89" spans="1:14" x14ac:dyDescent="0.35">
      <c r="A89" s="10"/>
      <c r="B89" s="10"/>
      <c r="C89" s="239"/>
      <c r="D89" s="239"/>
      <c r="E89" s="239"/>
      <c r="F89" s="239"/>
      <c r="G89" s="222"/>
      <c r="H89" s="254"/>
      <c r="I89" s="254"/>
      <c r="J89" s="254"/>
      <c r="K89" s="254"/>
      <c r="L89" s="255"/>
      <c r="M89" s="248"/>
      <c r="N89" s="256"/>
    </row>
    <row r="90" spans="1:14" x14ac:dyDescent="0.35">
      <c r="A90" s="10"/>
      <c r="B90" s="10"/>
      <c r="C90" s="239"/>
      <c r="D90" s="239"/>
      <c r="E90" s="239"/>
      <c r="F90" s="239"/>
      <c r="G90" s="222"/>
      <c r="H90" s="254"/>
      <c r="I90" s="254"/>
      <c r="J90" s="254"/>
      <c r="K90" s="254"/>
      <c r="L90" s="255"/>
      <c r="M90" s="248"/>
      <c r="N90" s="256"/>
    </row>
    <row r="91" spans="1:14" x14ac:dyDescent="0.35">
      <c r="A91" s="10"/>
      <c r="B91" s="10"/>
      <c r="C91" s="239"/>
      <c r="D91" s="239"/>
      <c r="E91" s="239"/>
      <c r="F91" s="239"/>
      <c r="G91" s="222"/>
      <c r="H91" s="254"/>
      <c r="I91" s="254"/>
      <c r="J91" s="254"/>
      <c r="K91" s="254"/>
      <c r="L91" s="255"/>
      <c r="M91" s="248"/>
      <c r="N91" s="256"/>
    </row>
    <row r="92" spans="1:14" x14ac:dyDescent="0.35">
      <c r="A92" s="10"/>
      <c r="B92" s="10"/>
      <c r="C92" s="239"/>
      <c r="D92" s="239"/>
      <c r="E92" s="239"/>
      <c r="F92" s="239"/>
      <c r="G92" s="222"/>
      <c r="H92" s="254"/>
      <c r="I92" s="254"/>
      <c r="J92" s="254"/>
      <c r="K92" s="254"/>
      <c r="L92" s="255"/>
      <c r="M92" s="248"/>
      <c r="N92" s="256"/>
    </row>
    <row r="93" spans="1:14" x14ac:dyDescent="0.35">
      <c r="A93" s="10"/>
      <c r="B93" s="10"/>
      <c r="C93" s="239"/>
      <c r="D93" s="239"/>
      <c r="E93" s="239"/>
      <c r="F93" s="239"/>
      <c r="G93" s="222"/>
      <c r="H93" s="254"/>
      <c r="I93" s="254"/>
      <c r="J93" s="254"/>
      <c r="K93" s="254"/>
      <c r="L93" s="255"/>
      <c r="M93" s="248"/>
      <c r="N93" s="256"/>
    </row>
    <row r="94" spans="1:14" x14ac:dyDescent="0.35">
      <c r="A94" s="10"/>
      <c r="B94" s="10"/>
      <c r="C94" s="239"/>
      <c r="D94" s="239"/>
      <c r="E94" s="239"/>
      <c r="F94" s="239"/>
      <c r="G94" s="222"/>
      <c r="H94" s="254"/>
      <c r="I94" s="254"/>
      <c r="J94" s="254"/>
      <c r="K94" s="254"/>
      <c r="L94" s="255"/>
      <c r="M94" s="248"/>
      <c r="N94" s="256"/>
    </row>
    <row r="95" spans="1:14" x14ac:dyDescent="0.35">
      <c r="A95" s="10"/>
      <c r="B95" s="10"/>
      <c r="C95" s="239"/>
      <c r="D95" s="239"/>
      <c r="E95" s="239"/>
      <c r="F95" s="239"/>
      <c r="G95" s="222"/>
      <c r="H95" s="254"/>
      <c r="I95" s="254"/>
      <c r="J95" s="254"/>
      <c r="K95" s="254"/>
      <c r="L95" s="255"/>
      <c r="M95" s="248"/>
      <c r="N95" s="256"/>
    </row>
    <row r="96" spans="1:14" x14ac:dyDescent="0.35">
      <c r="A96" s="10"/>
      <c r="B96" s="10"/>
      <c r="C96" s="239"/>
      <c r="D96" s="239"/>
      <c r="E96" s="239"/>
      <c r="F96" s="239"/>
      <c r="G96" s="222"/>
      <c r="H96" s="254"/>
      <c r="I96" s="254"/>
      <c r="J96" s="254"/>
      <c r="K96" s="254"/>
      <c r="L96" s="255"/>
      <c r="M96" s="248"/>
      <c r="N96" s="256"/>
    </row>
    <row r="99" spans="3:12" x14ac:dyDescent="0.35">
      <c r="C99" s="257"/>
      <c r="D99" s="257"/>
      <c r="E99" s="257"/>
      <c r="F99" s="257"/>
      <c r="G99" s="258"/>
      <c r="H99" s="258"/>
      <c r="I99" s="258"/>
      <c r="J99" s="258"/>
      <c r="K99" s="258"/>
      <c r="L99" s="257"/>
    </row>
  </sheetData>
  <mergeCells count="2">
    <mergeCell ref="C2:E2"/>
    <mergeCell ref="H6:N6"/>
  </mergeCells>
  <conditionalFormatting sqref="L22:L31 L9:L16 L18:L20">
    <cfRule type="duplicateValues" dxfId="0" priority="1"/>
  </conditionalFormatting>
  <pageMargins left="0.02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D690-4B19-4E5A-B686-A82028320D10}">
  <dimension ref="A1:AJ104"/>
  <sheetViews>
    <sheetView zoomScale="92" zoomScaleNormal="70" workbookViewId="0">
      <pane ySplit="3" topLeftCell="A4" activePane="bottomLeft" state="frozen"/>
      <selection activeCell="B15" sqref="B15"/>
      <selection pane="bottomLeft" activeCell="B14" sqref="B14"/>
    </sheetView>
  </sheetViews>
  <sheetFormatPr defaultColWidth="9.19921875" defaultRowHeight="16.5" x14ac:dyDescent="0.6"/>
  <cols>
    <col min="1" max="1" width="15.1328125" style="259" bestFit="1" customWidth="1"/>
    <col min="2" max="2" width="82" style="481" customWidth="1"/>
    <col min="3" max="3" width="9.796875" style="485" customWidth="1"/>
    <col min="4" max="4" width="23" style="482" customWidth="1"/>
    <col min="5" max="5" width="41.33203125" style="261" bestFit="1" customWidth="1"/>
    <col min="6" max="6" width="25.53125" style="261" customWidth="1"/>
    <col min="7" max="7" width="25.1328125" style="284" bestFit="1" customWidth="1"/>
    <col min="8" max="8" width="11.53125" style="261" bestFit="1" customWidth="1"/>
    <col min="9" max="16384" width="9.19921875" style="261"/>
  </cols>
  <sheetData>
    <row r="1" spans="1:7" ht="39" x14ac:dyDescent="1.4">
      <c r="B1" s="260" t="s">
        <v>0</v>
      </c>
      <c r="C1" s="260"/>
      <c r="D1" s="260"/>
      <c r="E1" s="260"/>
      <c r="F1" s="260"/>
      <c r="G1" s="260"/>
    </row>
    <row r="2" spans="1:7" ht="39.4" thickBot="1" x14ac:dyDescent="1.45">
      <c r="B2" s="260" t="s">
        <v>112</v>
      </c>
      <c r="C2" s="260"/>
      <c r="D2" s="260"/>
      <c r="E2" s="260"/>
      <c r="F2" s="260"/>
      <c r="G2" s="260"/>
    </row>
    <row r="3" spans="1:7" s="269" customFormat="1" ht="21.6" customHeight="1" thickBot="1" x14ac:dyDescent="0.8">
      <c r="A3" s="262" t="s">
        <v>113</v>
      </c>
      <c r="B3" s="263" t="s">
        <v>114</v>
      </c>
      <c r="C3" s="264" t="s">
        <v>115</v>
      </c>
      <c r="D3" s="265" t="s">
        <v>116</v>
      </c>
      <c r="E3" s="266" t="s">
        <v>117</v>
      </c>
      <c r="F3" s="267" t="s">
        <v>118</v>
      </c>
      <c r="G3" s="268" t="s">
        <v>119</v>
      </c>
    </row>
    <row r="4" spans="1:7" ht="21.4" x14ac:dyDescent="0.8">
      <c r="A4" s="270"/>
      <c r="B4" s="271"/>
      <c r="C4" s="272"/>
      <c r="D4" s="273" t="s">
        <v>120</v>
      </c>
      <c r="E4" s="274"/>
      <c r="F4" s="275" t="s">
        <v>120</v>
      </c>
      <c r="G4" s="276" t="s">
        <v>120</v>
      </c>
    </row>
    <row r="5" spans="1:7" s="284" customFormat="1" ht="20.65" x14ac:dyDescent="0.75">
      <c r="A5" s="277"/>
      <c r="B5" s="278" t="s">
        <v>121</v>
      </c>
      <c r="C5" s="279"/>
      <c r="D5" s="280"/>
      <c r="E5" s="281"/>
      <c r="F5" s="282"/>
      <c r="G5" s="283"/>
    </row>
    <row r="6" spans="1:7" ht="18.75" x14ac:dyDescent="0.7">
      <c r="A6" s="285"/>
      <c r="B6" s="286" t="s">
        <v>122</v>
      </c>
      <c r="C6" s="287">
        <v>2</v>
      </c>
      <c r="D6" s="288">
        <f>'[1]2027 HSSE'!G67</f>
        <v>432208</v>
      </c>
      <c r="E6" s="289" t="s">
        <v>123</v>
      </c>
      <c r="F6" s="290">
        <f>[1]ASSUMPTIONS!$N$48/[1]ASSUMPTIONS!$O$48*'CAPEX ESTIMATE'!D6</f>
        <v>321460.59000172041</v>
      </c>
      <c r="G6" s="291">
        <f>D6*[1]ASSUMPTIONS!$M$48/[1]ASSUMPTIONS!$O$48</f>
        <v>110747.40999827962</v>
      </c>
    </row>
    <row r="7" spans="1:7" ht="18.75" x14ac:dyDescent="0.7">
      <c r="A7" s="285"/>
      <c r="B7" s="286" t="s">
        <v>124</v>
      </c>
      <c r="C7" s="292">
        <v>16</v>
      </c>
      <c r="D7" s="288">
        <f>'[1]2027 HSSE'!G68</f>
        <v>325745</v>
      </c>
      <c r="E7" s="293" t="s">
        <v>123</v>
      </c>
      <c r="F7" s="290">
        <f>[1]ASSUMPTIONS!$N$48/[1]ASSUMPTIONS!$O$48*'CAPEX ESTIMATE'!D7</f>
        <v>242277.28290570839</v>
      </c>
      <c r="G7" s="291">
        <f>D7-F7</f>
        <v>83467.717094291613</v>
      </c>
    </row>
    <row r="8" spans="1:7" ht="18.75" x14ac:dyDescent="0.7">
      <c r="A8" s="285"/>
      <c r="B8" s="286" t="s">
        <v>125</v>
      </c>
      <c r="C8" s="287">
        <v>4</v>
      </c>
      <c r="D8" s="288">
        <f>'[1]2027 HSSE'!G69</f>
        <v>364675.5</v>
      </c>
      <c r="E8" s="293" t="s">
        <v>123</v>
      </c>
      <c r="F8" s="294" t="s">
        <v>103</v>
      </c>
      <c r="G8" s="291">
        <f>+D8</f>
        <v>364675.5</v>
      </c>
    </row>
    <row r="9" spans="1:7" ht="18.75" x14ac:dyDescent="0.7">
      <c r="A9" s="285"/>
      <c r="B9" s="295" t="s">
        <v>126</v>
      </c>
      <c r="C9" s="287">
        <v>5</v>
      </c>
      <c r="D9" s="296">
        <f>'[1]2027 MAINTENANCE'!L77</f>
        <v>950000</v>
      </c>
      <c r="E9" s="297" t="s">
        <v>123</v>
      </c>
      <c r="F9" s="290">
        <f>D9*0.6</f>
        <v>570000</v>
      </c>
      <c r="G9" s="298">
        <f>D9-F9</f>
        <v>380000</v>
      </c>
    </row>
    <row r="10" spans="1:7" ht="18.75" x14ac:dyDescent="0.7">
      <c r="A10" s="285"/>
      <c r="B10" s="299" t="s">
        <v>127</v>
      </c>
      <c r="C10" s="287"/>
      <c r="D10" s="296">
        <f>'[1]2027 MAINTENANCE'!L83</f>
        <v>55000</v>
      </c>
      <c r="E10" s="297" t="s">
        <v>123</v>
      </c>
      <c r="F10" s="290"/>
      <c r="G10" s="298"/>
    </row>
    <row r="11" spans="1:7" ht="18.75" x14ac:dyDescent="0.7">
      <c r="A11" s="285"/>
      <c r="B11" s="286" t="s">
        <v>128</v>
      </c>
      <c r="C11" s="287"/>
      <c r="D11" s="296">
        <f>'[1]2027 HSSE'!G71</f>
        <v>156452.94</v>
      </c>
      <c r="E11" s="297" t="s">
        <v>123</v>
      </c>
      <c r="F11" s="290"/>
      <c r="G11" s="298"/>
    </row>
    <row r="12" spans="1:7" ht="18.75" x14ac:dyDescent="0.7">
      <c r="A12" s="285"/>
      <c r="B12" s="286" t="s">
        <v>129</v>
      </c>
      <c r="C12" s="287"/>
      <c r="D12" s="296">
        <f>'[1]2027 HSSE'!G72</f>
        <v>337662.5</v>
      </c>
      <c r="E12" s="297" t="s">
        <v>123</v>
      </c>
      <c r="F12" s="290"/>
      <c r="G12" s="298"/>
    </row>
    <row r="13" spans="1:7" ht="18.75" x14ac:dyDescent="0.7">
      <c r="A13" s="285"/>
      <c r="B13" s="286" t="s">
        <v>130</v>
      </c>
      <c r="C13" s="287"/>
      <c r="D13" s="296">
        <f>'[1]2027 HSSE'!G73</f>
        <v>98745</v>
      </c>
      <c r="E13" s="297" t="s">
        <v>123</v>
      </c>
      <c r="F13" s="290"/>
      <c r="G13" s="298"/>
    </row>
    <row r="14" spans="1:7" ht="18.75" x14ac:dyDescent="0.7">
      <c r="A14" s="285"/>
      <c r="B14" s="287" t="s">
        <v>131</v>
      </c>
      <c r="C14" s="287"/>
      <c r="D14" s="296">
        <f>'[1]2027 HSSE'!G6</f>
        <v>271269.8413425</v>
      </c>
      <c r="E14" s="297" t="s">
        <v>123</v>
      </c>
      <c r="F14" s="300"/>
      <c r="G14" s="298"/>
    </row>
    <row r="15" spans="1:7" ht="18.75" x14ac:dyDescent="0.7">
      <c r="A15" s="285"/>
      <c r="B15" s="287" t="s">
        <v>132</v>
      </c>
      <c r="C15" s="287"/>
      <c r="D15" s="296">
        <f>'[1]2027 HSSE'!G7</f>
        <v>234781.56</v>
      </c>
      <c r="E15" s="297" t="s">
        <v>123</v>
      </c>
      <c r="F15" s="300"/>
      <c r="G15" s="298"/>
    </row>
    <row r="16" spans="1:7" ht="27.4" x14ac:dyDescent="1">
      <c r="A16" s="285"/>
      <c r="B16" s="301" t="s">
        <v>133</v>
      </c>
      <c r="C16" s="302"/>
      <c r="D16" s="296">
        <f>'[1]2027 ADMIN'!J118</f>
        <v>20676.600000000002</v>
      </c>
      <c r="E16" s="297"/>
      <c r="F16" s="300"/>
      <c r="G16" s="298"/>
    </row>
    <row r="17" spans="1:7" ht="27.4" x14ac:dyDescent="1">
      <c r="A17" s="285"/>
      <c r="B17" s="303" t="s">
        <v>134</v>
      </c>
      <c r="C17" s="304"/>
      <c r="D17" s="296">
        <f>'[1]2027 ADMIN'!J119</f>
        <v>36758.400000000001</v>
      </c>
      <c r="E17" s="297"/>
      <c r="F17" s="300"/>
      <c r="G17" s="298"/>
    </row>
    <row r="18" spans="1:7" ht="27.4" x14ac:dyDescent="1">
      <c r="A18" s="285"/>
      <c r="B18" s="301" t="s">
        <v>135</v>
      </c>
      <c r="C18" s="302"/>
      <c r="D18" s="296">
        <f>'[1]2027 ADMIN'!J120</f>
        <v>16417.220400000002</v>
      </c>
      <c r="E18" s="305"/>
      <c r="F18" s="306"/>
      <c r="G18" s="307"/>
    </row>
    <row r="19" spans="1:7" ht="27.4" x14ac:dyDescent="1">
      <c r="A19" s="285"/>
      <c r="B19" s="301" t="s">
        <v>136</v>
      </c>
      <c r="C19" s="308"/>
      <c r="D19" s="296">
        <f>'[1]2027 ADMIN'!J121</f>
        <v>39725</v>
      </c>
      <c r="E19" s="305"/>
      <c r="F19" s="306"/>
      <c r="G19" s="307"/>
    </row>
    <row r="20" spans="1:7" ht="27.4" x14ac:dyDescent="1">
      <c r="A20" s="285"/>
      <c r="B20" s="301" t="s">
        <v>137</v>
      </c>
      <c r="C20" s="302"/>
      <c r="D20" s="296">
        <f>'[1]2027 ADMIN'!J122</f>
        <v>50542.8</v>
      </c>
      <c r="E20" s="305"/>
      <c r="F20" s="306"/>
      <c r="G20" s="307"/>
    </row>
    <row r="21" spans="1:7" ht="18.75" x14ac:dyDescent="0.7">
      <c r="A21" s="285"/>
      <c r="B21" s="309"/>
      <c r="C21" s="292"/>
      <c r="D21" s="310"/>
      <c r="E21" s="305"/>
      <c r="F21" s="311"/>
      <c r="G21" s="307"/>
    </row>
    <row r="22" spans="1:7" ht="19.149999999999999" thickBot="1" x14ac:dyDescent="0.75">
      <c r="A22" s="285"/>
      <c r="B22" s="309"/>
      <c r="C22" s="292"/>
      <c r="D22" s="310"/>
      <c r="E22" s="305"/>
      <c r="F22" s="311"/>
      <c r="G22" s="307"/>
    </row>
    <row r="23" spans="1:7" ht="19.149999999999999" thickBot="1" x14ac:dyDescent="0.75">
      <c r="A23" s="285"/>
      <c r="B23" s="312" t="s">
        <v>138</v>
      </c>
      <c r="C23" s="313"/>
      <c r="D23" s="314">
        <f>SUM(D6:D22)</f>
        <v>3390660.3617424998</v>
      </c>
      <c r="E23" s="314"/>
      <c r="F23" s="314">
        <f>SUM(F6:F22)</f>
        <v>1133737.8729074288</v>
      </c>
      <c r="G23" s="314">
        <f>SUM(G6:G22)</f>
        <v>938890.62709257123</v>
      </c>
    </row>
    <row r="24" spans="1:7" ht="18.75" x14ac:dyDescent="0.7">
      <c r="A24" s="285"/>
      <c r="B24" s="315"/>
      <c r="C24" s="316"/>
      <c r="D24" s="317"/>
      <c r="E24" s="318"/>
      <c r="F24" s="319"/>
      <c r="G24" s="320"/>
    </row>
    <row r="25" spans="1:7" s="284" customFormat="1" ht="18.75" x14ac:dyDescent="0.7">
      <c r="A25" s="277"/>
      <c r="B25" s="321" t="s">
        <v>139</v>
      </c>
      <c r="C25" s="322"/>
      <c r="D25" s="323"/>
      <c r="E25" s="324"/>
      <c r="F25" s="325"/>
      <c r="G25" s="326"/>
    </row>
    <row r="26" spans="1:7" x14ac:dyDescent="0.6">
      <c r="A26" s="285"/>
      <c r="B26" s="327" t="s">
        <v>140</v>
      </c>
      <c r="C26" s="301">
        <v>2</v>
      </c>
      <c r="D26" s="288">
        <f>'[1]2027 ADMIN'!J125</f>
        <v>57435</v>
      </c>
      <c r="E26" s="293" t="s">
        <v>141</v>
      </c>
      <c r="F26" s="328" t="s">
        <v>103</v>
      </c>
      <c r="G26" s="291">
        <f>+D26</f>
        <v>57435</v>
      </c>
    </row>
    <row r="27" spans="1:7" x14ac:dyDescent="0.6">
      <c r="A27" s="285"/>
      <c r="B27" s="301" t="s">
        <v>142</v>
      </c>
      <c r="C27" s="301"/>
      <c r="D27" s="329">
        <f>'[1]2027 ADMIN'!J123</f>
        <v>17592.5</v>
      </c>
      <c r="E27" s="330" t="s">
        <v>143</v>
      </c>
      <c r="F27" s="331" t="s">
        <v>103</v>
      </c>
      <c r="G27" s="332">
        <f>D27</f>
        <v>17592.5</v>
      </c>
    </row>
    <row r="28" spans="1:7" x14ac:dyDescent="0.6">
      <c r="A28" s="285"/>
      <c r="B28" s="301" t="s">
        <v>144</v>
      </c>
      <c r="C28" s="301"/>
      <c r="D28" s="333">
        <f>'[1]2027 ADMIN'!J124</f>
        <v>68922</v>
      </c>
      <c r="E28" s="330"/>
      <c r="F28" s="331"/>
      <c r="G28" s="332"/>
    </row>
    <row r="29" spans="1:7" x14ac:dyDescent="0.6">
      <c r="A29" s="285"/>
      <c r="B29" s="327"/>
      <c r="C29" s="301"/>
      <c r="D29" s="333"/>
      <c r="E29" s="330"/>
      <c r="F29" s="331"/>
      <c r="G29" s="332"/>
    </row>
    <row r="30" spans="1:7" ht="19.149999999999999" thickBot="1" x14ac:dyDescent="0.75">
      <c r="A30" s="285"/>
      <c r="B30" s="286"/>
      <c r="C30" s="287"/>
      <c r="D30" s="333"/>
      <c r="E30" s="330"/>
      <c r="F30" s="331"/>
      <c r="G30" s="332"/>
    </row>
    <row r="31" spans="1:7" ht="19.149999999999999" thickBot="1" x14ac:dyDescent="0.75">
      <c r="A31" s="285"/>
      <c r="B31" s="312" t="s">
        <v>138</v>
      </c>
      <c r="C31" s="313"/>
      <c r="D31" s="314">
        <f>SUM(D26:D30)</f>
        <v>143949.5</v>
      </c>
      <c r="E31" s="314"/>
      <c r="F31" s="314">
        <f t="shared" ref="F31:G31" si="0">SUM(F26:F30)</f>
        <v>0</v>
      </c>
      <c r="G31" s="314">
        <f t="shared" si="0"/>
        <v>75027.5</v>
      </c>
    </row>
    <row r="32" spans="1:7" ht="18.75" x14ac:dyDescent="0.7">
      <c r="A32" s="285"/>
      <c r="B32" s="286"/>
      <c r="C32" s="287"/>
      <c r="D32" s="333"/>
      <c r="E32" s="330"/>
      <c r="F32" s="331"/>
      <c r="G32" s="332"/>
    </row>
    <row r="33" spans="1:7" s="284" customFormat="1" ht="18.75" x14ac:dyDescent="0.7">
      <c r="A33" s="277"/>
      <c r="B33" s="321" t="s">
        <v>145</v>
      </c>
      <c r="C33" s="322"/>
      <c r="D33" s="334"/>
      <c r="E33" s="324"/>
      <c r="F33" s="335"/>
      <c r="G33" s="326"/>
    </row>
    <row r="34" spans="1:7" s="284" customFormat="1" ht="18.75" x14ac:dyDescent="0.7">
      <c r="A34" s="277"/>
      <c r="B34" s="321" t="s">
        <v>146</v>
      </c>
      <c r="C34" s="322"/>
      <c r="D34" s="334"/>
      <c r="E34" s="324"/>
      <c r="F34" s="335"/>
      <c r="G34" s="326"/>
    </row>
    <row r="35" spans="1:7" s="343" customFormat="1" ht="18.75" x14ac:dyDescent="0.7">
      <c r="A35" s="336"/>
      <c r="B35" s="337" t="s">
        <v>147</v>
      </c>
      <c r="C35" s="338"/>
      <c r="D35" s="339">
        <f>'[1]2027 LABORATORY'!G48</f>
        <v>321205</v>
      </c>
      <c r="E35" s="340" t="s">
        <v>141</v>
      </c>
      <c r="F35" s="341"/>
      <c r="G35" s="342">
        <f>D35</f>
        <v>321205</v>
      </c>
    </row>
    <row r="36" spans="1:7" s="343" customFormat="1" ht="18.75" x14ac:dyDescent="0.6">
      <c r="A36" s="336"/>
      <c r="B36" s="344" t="s">
        <v>148</v>
      </c>
      <c r="C36" s="345">
        <v>2</v>
      </c>
      <c r="D36" s="339">
        <f>'[1]2027 LABORATORY'!G49</f>
        <v>309117.9105</v>
      </c>
      <c r="E36" s="293" t="s">
        <v>141</v>
      </c>
      <c r="F36" s="328" t="s">
        <v>103</v>
      </c>
      <c r="G36" s="291">
        <f>+D36</f>
        <v>309117.9105</v>
      </c>
    </row>
    <row r="37" spans="1:7" s="343" customFormat="1" ht="18.75" x14ac:dyDescent="0.6">
      <c r="A37" s="336"/>
      <c r="B37" s="344" t="s">
        <v>149</v>
      </c>
      <c r="C37" s="345"/>
      <c r="D37" s="339">
        <f>'[1]2027 LABORATORY'!G50</f>
        <v>56133.283499999998</v>
      </c>
      <c r="E37" s="293" t="s">
        <v>141</v>
      </c>
      <c r="F37" s="328" t="s">
        <v>103</v>
      </c>
      <c r="G37" s="291">
        <f>D37</f>
        <v>56133.283499999998</v>
      </c>
    </row>
    <row r="38" spans="1:7" ht="18.75" x14ac:dyDescent="0.6">
      <c r="A38" s="285"/>
      <c r="B38" s="286" t="s">
        <v>150</v>
      </c>
      <c r="C38" s="345"/>
      <c r="D38" s="339">
        <f>'[1]2027 LABORATORY'!G51</f>
        <v>6954.2550000000001</v>
      </c>
      <c r="E38" s="293" t="s">
        <v>141</v>
      </c>
      <c r="F38" s="331"/>
      <c r="G38" s="291">
        <f>D38</f>
        <v>6954.2550000000001</v>
      </c>
    </row>
    <row r="39" spans="1:7" ht="18.75" x14ac:dyDescent="0.6">
      <c r="A39" s="285"/>
      <c r="B39" s="286" t="s">
        <v>151</v>
      </c>
      <c r="C39" s="345">
        <v>2</v>
      </c>
      <c r="D39" s="339">
        <f>'[1]2027 LABORATORY'!G52</f>
        <v>30731.4</v>
      </c>
      <c r="E39" s="293" t="s">
        <v>141</v>
      </c>
      <c r="F39" s="328" t="s">
        <v>103</v>
      </c>
      <c r="G39" s="291">
        <f>D39</f>
        <v>30731.4</v>
      </c>
    </row>
    <row r="40" spans="1:7" ht="18.75" x14ac:dyDescent="0.6">
      <c r="A40" s="285"/>
      <c r="B40" s="346" t="s">
        <v>152</v>
      </c>
      <c r="C40" s="347"/>
      <c r="D40" s="348"/>
      <c r="E40" s="293"/>
      <c r="F40" s="290"/>
      <c r="G40" s="291"/>
    </row>
    <row r="41" spans="1:7" ht="18.75" x14ac:dyDescent="0.7">
      <c r="A41" s="285"/>
      <c r="B41" s="349" t="s">
        <v>153</v>
      </c>
      <c r="C41" s="347"/>
      <c r="D41" s="348">
        <f>'[1]2027 HSSE'!G66</f>
        <v>305135.4657</v>
      </c>
      <c r="E41" s="293"/>
      <c r="F41" s="290"/>
      <c r="G41" s="291"/>
    </row>
    <row r="42" spans="1:7" ht="18.75" x14ac:dyDescent="0.7">
      <c r="A42" s="285"/>
      <c r="B42" s="287" t="s">
        <v>132</v>
      </c>
      <c r="C42" s="350"/>
      <c r="D42" s="348">
        <f>'[1]2027 HSSE'!G7</f>
        <v>234781.56</v>
      </c>
      <c r="E42" s="293"/>
      <c r="F42" s="351"/>
      <c r="G42" s="291"/>
    </row>
    <row r="43" spans="1:7" ht="18.75" x14ac:dyDescent="0.7">
      <c r="A43" s="285"/>
      <c r="B43" s="316" t="s">
        <v>154</v>
      </c>
      <c r="C43" s="352"/>
      <c r="D43" s="353">
        <f>'[1]2027 HSSE'!G70</f>
        <v>62129.9</v>
      </c>
      <c r="E43" s="354"/>
      <c r="F43" s="319"/>
      <c r="G43" s="355"/>
    </row>
    <row r="44" spans="1:7" ht="18.75" x14ac:dyDescent="0.7">
      <c r="A44" s="285"/>
      <c r="B44" s="356"/>
      <c r="C44" s="357"/>
      <c r="D44" s="358"/>
      <c r="E44" s="359"/>
      <c r="F44" s="360"/>
      <c r="G44" s="342"/>
    </row>
    <row r="45" spans="1:7" ht="19.149999999999999" thickBot="1" x14ac:dyDescent="0.75">
      <c r="A45" s="285"/>
      <c r="B45" s="361"/>
      <c r="C45" s="362"/>
      <c r="D45" s="363"/>
      <c r="E45" s="364"/>
      <c r="F45" s="365"/>
      <c r="G45" s="342"/>
    </row>
    <row r="46" spans="1:7" ht="19.149999999999999" thickBot="1" x14ac:dyDescent="0.75">
      <c r="A46" s="285"/>
      <c r="B46" s="312" t="s">
        <v>138</v>
      </c>
      <c r="C46" s="313"/>
      <c r="D46" s="314">
        <f>SUM(D35:D43)</f>
        <v>1326188.7747</v>
      </c>
      <c r="E46" s="314"/>
      <c r="F46" s="314">
        <f>SUM(F35:F43)</f>
        <v>0</v>
      </c>
      <c r="G46" s="314">
        <f>SUM(G35:G43)</f>
        <v>724141.84900000005</v>
      </c>
    </row>
    <row r="47" spans="1:7" ht="18.75" x14ac:dyDescent="0.7">
      <c r="A47" s="285"/>
      <c r="B47" s="287"/>
      <c r="C47" s="347"/>
      <c r="D47" s="348"/>
      <c r="E47" s="293"/>
      <c r="F47" s="290"/>
      <c r="G47" s="291"/>
    </row>
    <row r="48" spans="1:7" s="284" customFormat="1" ht="18.75" x14ac:dyDescent="0.6">
      <c r="A48" s="277"/>
      <c r="B48" s="366" t="s">
        <v>155</v>
      </c>
      <c r="C48" s="367"/>
      <c r="D48" s="368"/>
      <c r="E48" s="369"/>
      <c r="F48" s="370"/>
      <c r="G48" s="371"/>
    </row>
    <row r="49" spans="1:8" ht="18.75" x14ac:dyDescent="0.7">
      <c r="A49" s="285"/>
      <c r="B49" s="372" t="s">
        <v>156</v>
      </c>
      <c r="C49" s="373"/>
      <c r="D49" s="348">
        <f>'[1]2027 MAINTENANCE'!L13</f>
        <v>500000</v>
      </c>
      <c r="E49" s="293" t="s">
        <v>141</v>
      </c>
      <c r="F49" s="374"/>
      <c r="G49" s="291">
        <f>D49</f>
        <v>500000</v>
      </c>
      <c r="H49" s="284"/>
    </row>
    <row r="50" spans="1:8" x14ac:dyDescent="0.6">
      <c r="A50" s="285"/>
      <c r="B50" s="372" t="s">
        <v>157</v>
      </c>
      <c r="C50" s="375"/>
      <c r="D50" s="376">
        <f>'[1]2027 MAINTENANCE'!L51</f>
        <v>550000</v>
      </c>
      <c r="E50" s="340" t="s">
        <v>158</v>
      </c>
      <c r="F50" s="377" t="s">
        <v>103</v>
      </c>
      <c r="G50" s="342">
        <f>D50-F51</f>
        <v>140930.00476403441</v>
      </c>
    </row>
    <row r="51" spans="1:8" ht="18" customHeight="1" x14ac:dyDescent="0.6">
      <c r="A51" s="285"/>
      <c r="B51" s="372" t="s">
        <v>159</v>
      </c>
      <c r="C51" s="378"/>
      <c r="D51" s="296">
        <f>'[1]2027 MAINTENANCE'!L52</f>
        <v>117185.262285</v>
      </c>
      <c r="E51" s="340" t="s">
        <v>141</v>
      </c>
      <c r="F51" s="300">
        <f>[1]ASSUMPTIONS!$N$48/[1]ASSUMPTIONS!$O$48*'CAPEX ESTIMATE'!D50</f>
        <v>409069.99523596559</v>
      </c>
      <c r="G51" s="298">
        <f>D51</f>
        <v>117185.262285</v>
      </c>
    </row>
    <row r="52" spans="1:8" ht="18.75" x14ac:dyDescent="0.7">
      <c r="A52" s="285"/>
      <c r="B52" s="372" t="s">
        <v>160</v>
      </c>
      <c r="C52" s="379"/>
      <c r="D52" s="376">
        <f>'[1]2027 MAINTENANCE'!L53</f>
        <v>97121.608605000016</v>
      </c>
      <c r="E52" s="380" t="s">
        <v>158</v>
      </c>
      <c r="F52" s="381" t="s">
        <v>103</v>
      </c>
      <c r="G52" s="342">
        <f>D52*[1]ASSUMPTIONS!$M$48/[1]ASSUMPTIONS!$O$48</f>
        <v>24886.088660715159</v>
      </c>
    </row>
    <row r="53" spans="1:8" ht="18.75" x14ac:dyDescent="0.7">
      <c r="A53" s="285"/>
      <c r="B53" s="372" t="s">
        <v>161</v>
      </c>
      <c r="C53" s="382"/>
      <c r="D53" s="288">
        <f>'[1]2027 MAINTENANCE'!L54</f>
        <v>103383</v>
      </c>
      <c r="E53" s="289" t="s">
        <v>158</v>
      </c>
      <c r="F53" s="290">
        <f>[1]ASSUMPTIONS!$N$48/[1]ASSUMPTIONS!$O$48*'CAPEX ESTIMATE'!D52</f>
        <v>72235.519944284853</v>
      </c>
      <c r="G53" s="291">
        <f>D53*[1]ASSUMPTIONS!$M$48/[1]ASSUMPTIONS!$O$48</f>
        <v>26490.484877309402</v>
      </c>
    </row>
    <row r="54" spans="1:8" x14ac:dyDescent="0.6">
      <c r="A54" s="285"/>
      <c r="B54" s="372" t="s">
        <v>162</v>
      </c>
      <c r="C54" s="383"/>
      <c r="D54" s="288">
        <f>'[1]2027 MAINTENANCE'!L55</f>
        <v>1500000</v>
      </c>
      <c r="E54" s="289" t="s">
        <v>158</v>
      </c>
      <c r="F54" s="290">
        <f>[1]ASSUMPTIONS!$N$48/[1]ASSUMPTIONS!$O$48*'CAPEX ESTIMATE'!D53</f>
        <v>76892.515122690602</v>
      </c>
      <c r="G54" s="291">
        <f>D54-F55</f>
        <v>384354.55844736658</v>
      </c>
    </row>
    <row r="55" spans="1:8" x14ac:dyDescent="0.6">
      <c r="A55" s="285"/>
      <c r="B55" s="372" t="s">
        <v>163</v>
      </c>
      <c r="C55" s="383"/>
      <c r="D55" s="288">
        <f>'[1]2027 MAINTENANCE'!L56</f>
        <v>364735.22399999999</v>
      </c>
      <c r="E55" s="289" t="s">
        <v>123</v>
      </c>
      <c r="F55" s="290">
        <f>D54*[1]ASSUMPTIONS!N48/[1]ASSUMPTIONS!O48</f>
        <v>1115645.4415526334</v>
      </c>
      <c r="G55" s="291">
        <f>D55*[1]ASSUMPTIONS!$D$40/[1]ASSUMPTIONS!$C$42</f>
        <v>178720.25975999999</v>
      </c>
    </row>
    <row r="56" spans="1:8" x14ac:dyDescent="0.6">
      <c r="A56" s="285"/>
      <c r="B56" s="372" t="s">
        <v>164</v>
      </c>
      <c r="C56" s="383"/>
      <c r="D56" s="288">
        <f>'[1]2027 MAINTENANCE'!L57</f>
        <v>425227.75</v>
      </c>
      <c r="E56" s="289" t="s">
        <v>158</v>
      </c>
      <c r="F56" s="290">
        <f>D55*[1]ASSUMPTIONS!$C$40/[1]ASSUMPTIONS!$C$42</f>
        <v>186014.96423999997</v>
      </c>
      <c r="G56" s="291">
        <f>D56*[1]ASSUMPTIONS!$M$48/[1]ASSUMPTIONS!$O$48</f>
        <v>108958.81606054481</v>
      </c>
    </row>
    <row r="57" spans="1:8" ht="18.75" x14ac:dyDescent="0.6">
      <c r="A57" s="285"/>
      <c r="B57" s="384" t="s">
        <v>165</v>
      </c>
      <c r="C57" s="383"/>
      <c r="D57" s="288">
        <f>'[1]2027 MAINTENANCE'!L47</f>
        <v>16173123.216050003</v>
      </c>
      <c r="E57" s="289" t="s">
        <v>158</v>
      </c>
      <c r="F57" s="290">
        <f>[1]ASSUMPTIONS!$N$48/[1]ASSUMPTIONS!$O$48*'CAPEX ESTIMATE'!D56</f>
        <v>316268.93393945519</v>
      </c>
      <c r="G57" s="291">
        <f>D57*[1]ASSUMPTIONS!$M$48/[1]ASSUMPTIONS!$O$48</f>
        <v>4144142.421613168</v>
      </c>
    </row>
    <row r="58" spans="1:8" ht="14.45" customHeight="1" x14ac:dyDescent="0.6">
      <c r="A58" s="285"/>
      <c r="B58" s="384" t="s">
        <v>166</v>
      </c>
      <c r="C58" s="383"/>
      <c r="D58" s="288">
        <f>'[1]2027 MAINTENANCE'!L48</f>
        <v>15291489.791787503</v>
      </c>
      <c r="E58" s="289" t="s">
        <v>158</v>
      </c>
      <c r="F58" s="290">
        <f>[1]ASSUMPTIONS!$N$48/[1]ASSUMPTIONS!$O$48*'CAPEX ESTIMATE'!D57</f>
        <v>12028980.794436835</v>
      </c>
      <c r="G58" s="291">
        <f>D58*[1]ASSUMPTIONS!$M$48/[1]ASSUMPTIONS!$O$48</f>
        <v>3918235.8712832667</v>
      </c>
    </row>
    <row r="59" spans="1:8" ht="18.600000000000001" customHeight="1" x14ac:dyDescent="0.6">
      <c r="A59" s="285"/>
      <c r="B59" s="384" t="s">
        <v>167</v>
      </c>
      <c r="C59" s="385"/>
      <c r="D59" s="386">
        <f>'[1]2027 MAINTENANCE'!L49</f>
        <v>21512270.438322306</v>
      </c>
      <c r="E59" s="387" t="s">
        <v>158</v>
      </c>
      <c r="F59" s="290">
        <f>[1]ASSUMPTIONS!$N$48/[1]ASSUMPTIONS!$O$48*'CAPEX ESTIMATE'!D58</f>
        <v>11373253.920504237</v>
      </c>
      <c r="G59" s="291">
        <f>D59*[1]ASSUMPTIONS!$M$48/[1]ASSUMPTIONS!$O$48</f>
        <v>5512226.137014471</v>
      </c>
    </row>
    <row r="60" spans="1:8" ht="21.6" customHeight="1" x14ac:dyDescent="0.6">
      <c r="A60" s="285"/>
      <c r="B60" s="384" t="s">
        <v>163</v>
      </c>
      <c r="C60" s="385"/>
      <c r="D60" s="386">
        <f>'[1]2027 MAINTENANCE'!L50</f>
        <v>758142</v>
      </c>
      <c r="E60" s="387" t="s">
        <v>158</v>
      </c>
      <c r="F60" s="290">
        <f>[1]ASSUMPTIONS!$N$48/[1]ASSUMPTIONS!$O$48*'CAPEX ESTIMATE'!D59</f>
        <v>16000044.301307835</v>
      </c>
      <c r="G60" s="291">
        <f>D60*[1]ASSUMPTIONS!$M$48/[1]ASSUMPTIONS!$O$48</f>
        <v>194263.55576693558</v>
      </c>
    </row>
    <row r="61" spans="1:8" ht="21.6" customHeight="1" x14ac:dyDescent="0.6">
      <c r="A61" s="285"/>
      <c r="B61" s="388" t="s">
        <v>168</v>
      </c>
      <c r="C61" s="385"/>
      <c r="D61" s="386">
        <f>'[1]2027 MAINTENANCE'!L75</f>
        <v>285000</v>
      </c>
      <c r="E61" s="387"/>
      <c r="F61" s="290"/>
      <c r="G61" s="291"/>
    </row>
    <row r="62" spans="1:8" ht="21.6" customHeight="1" x14ac:dyDescent="0.6">
      <c r="A62" s="285"/>
      <c r="B62" s="388" t="s">
        <v>169</v>
      </c>
      <c r="C62" s="385"/>
      <c r="D62" s="386">
        <f>'[1]2027 MAINTENANCE'!L43</f>
        <v>550000</v>
      </c>
      <c r="E62" s="387"/>
      <c r="F62" s="290"/>
      <c r="G62" s="291"/>
    </row>
    <row r="63" spans="1:8" ht="33" x14ac:dyDescent="0.6">
      <c r="A63" s="285"/>
      <c r="B63" s="389" t="s">
        <v>170</v>
      </c>
      <c r="C63" s="385"/>
      <c r="D63" s="386">
        <f>'[1]2027 MAINTENANCE'!L42</f>
        <v>2500000</v>
      </c>
      <c r="E63" s="387"/>
      <c r="F63" s="290"/>
      <c r="G63" s="291"/>
    </row>
    <row r="64" spans="1:8" x14ac:dyDescent="0.6">
      <c r="A64" s="285"/>
      <c r="B64" s="390" t="s">
        <v>171</v>
      </c>
      <c r="C64" s="385"/>
      <c r="D64" s="386">
        <f>'[1]2027 MAINTENANCE'!L76</f>
        <v>125000</v>
      </c>
      <c r="E64" s="387"/>
      <c r="F64" s="290"/>
      <c r="G64" s="291"/>
    </row>
    <row r="65" spans="1:36" ht="16.25" customHeight="1" x14ac:dyDescent="0.6">
      <c r="A65" s="285"/>
      <c r="B65" s="391" t="s">
        <v>172</v>
      </c>
      <c r="C65" s="297"/>
      <c r="D65" s="386">
        <f>'[1]2027 ADMIN'!J128</f>
        <v>172305</v>
      </c>
      <c r="E65" s="387"/>
      <c r="F65" s="290"/>
      <c r="G65" s="291"/>
    </row>
    <row r="66" spans="1:36" s="399" customFormat="1" ht="18.75" x14ac:dyDescent="0.6">
      <c r="A66" s="392"/>
      <c r="B66" s="393"/>
      <c r="C66" s="394"/>
      <c r="D66" s="395"/>
      <c r="E66" s="396"/>
      <c r="F66" s="397"/>
      <c r="G66" s="398"/>
    </row>
    <row r="67" spans="1:36" s="399" customFormat="1" ht="18.75" x14ac:dyDescent="0.6">
      <c r="A67" s="392"/>
      <c r="B67" s="393"/>
      <c r="C67" s="394"/>
      <c r="D67" s="395"/>
      <c r="E67" s="396"/>
      <c r="F67" s="397"/>
      <c r="G67" s="398"/>
    </row>
    <row r="68" spans="1:36" s="406" customFormat="1" ht="18.75" hidden="1" x14ac:dyDescent="0.6">
      <c r="A68" s="392"/>
      <c r="B68" s="400"/>
      <c r="C68" s="401"/>
      <c r="D68" s="402"/>
      <c r="E68" s="403"/>
      <c r="F68" s="397"/>
      <c r="G68" s="404"/>
      <c r="H68" s="405"/>
      <c r="I68" s="399"/>
      <c r="J68" s="399"/>
      <c r="K68" s="399"/>
      <c r="L68" s="399"/>
      <c r="M68" s="399"/>
      <c r="N68" s="399"/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399"/>
      <c r="AA68" s="399"/>
      <c r="AB68" s="399"/>
      <c r="AC68" s="399"/>
      <c r="AD68" s="399"/>
      <c r="AE68" s="399"/>
      <c r="AF68" s="399"/>
      <c r="AG68" s="399"/>
      <c r="AH68" s="399"/>
      <c r="AI68" s="399"/>
      <c r="AJ68" s="399"/>
    </row>
    <row r="69" spans="1:36" s="406" customFormat="1" ht="18.75" x14ac:dyDescent="0.6">
      <c r="A69" s="392"/>
      <c r="B69" s="400"/>
      <c r="C69" s="401"/>
      <c r="D69" s="402"/>
      <c r="E69" s="403"/>
      <c r="F69" s="397"/>
      <c r="G69" s="398"/>
      <c r="H69" s="405"/>
      <c r="I69" s="399"/>
      <c r="J69" s="399"/>
      <c r="K69" s="399"/>
      <c r="L69" s="399"/>
      <c r="M69" s="399"/>
      <c r="N69" s="399"/>
      <c r="O69" s="399"/>
      <c r="P69" s="399"/>
      <c r="Q69" s="399"/>
      <c r="R69" s="399"/>
      <c r="S69" s="399"/>
      <c r="T69" s="399"/>
      <c r="U69" s="399"/>
      <c r="V69" s="399"/>
      <c r="W69" s="399"/>
      <c r="X69" s="399"/>
      <c r="Y69" s="399"/>
      <c r="Z69" s="399"/>
      <c r="AA69" s="399"/>
      <c r="AB69" s="399"/>
      <c r="AC69" s="399"/>
      <c r="AD69" s="399"/>
      <c r="AE69" s="399"/>
      <c r="AF69" s="399"/>
      <c r="AG69" s="399"/>
      <c r="AH69" s="399"/>
      <c r="AI69" s="399"/>
      <c r="AJ69" s="399"/>
    </row>
    <row r="70" spans="1:36" s="399" customFormat="1" ht="18.75" x14ac:dyDescent="0.6">
      <c r="A70" s="392"/>
      <c r="B70" s="400"/>
      <c r="C70" s="407"/>
      <c r="D70" s="408"/>
      <c r="E70" s="403"/>
      <c r="F70" s="409"/>
      <c r="G70" s="398"/>
    </row>
    <row r="71" spans="1:36" s="399" customFormat="1" ht="18.75" x14ac:dyDescent="0.6">
      <c r="A71" s="392"/>
      <c r="B71" s="410"/>
      <c r="C71" s="411"/>
      <c r="D71" s="412"/>
      <c r="E71" s="396"/>
      <c r="F71" s="413"/>
      <c r="G71" s="398"/>
    </row>
    <row r="72" spans="1:36" s="416" customFormat="1" hidden="1" x14ac:dyDescent="0.6">
      <c r="A72" s="414"/>
      <c r="B72" s="415"/>
      <c r="D72" s="417"/>
      <c r="E72" s="403"/>
      <c r="F72" s="418"/>
      <c r="G72" s="419"/>
      <c r="H72" s="420"/>
    </row>
    <row r="73" spans="1:36" s="425" customFormat="1" hidden="1" x14ac:dyDescent="0.6">
      <c r="A73" s="414"/>
      <c r="B73" s="421"/>
      <c r="C73" s="422"/>
      <c r="D73" s="423"/>
      <c r="E73" s="403"/>
      <c r="F73" s="424"/>
      <c r="G73" s="419"/>
    </row>
    <row r="74" spans="1:36" s="425" customFormat="1" ht="8.4499999999999993" hidden="1" customHeight="1" x14ac:dyDescent="0.6">
      <c r="A74" s="414"/>
      <c r="B74" s="421"/>
      <c r="C74" s="422"/>
      <c r="D74" s="423"/>
      <c r="E74" s="403"/>
      <c r="F74" s="426"/>
      <c r="G74" s="419"/>
    </row>
    <row r="75" spans="1:36" s="425" customFormat="1" x14ac:dyDescent="0.6">
      <c r="A75" s="414"/>
      <c r="B75" s="421"/>
      <c r="C75" s="422"/>
      <c r="D75" s="423"/>
      <c r="E75" s="403"/>
      <c r="F75" s="426"/>
      <c r="G75" s="427"/>
    </row>
    <row r="76" spans="1:36" s="425" customFormat="1" x14ac:dyDescent="0.6">
      <c r="A76" s="414"/>
      <c r="B76" s="421"/>
      <c r="C76" s="422"/>
      <c r="D76" s="423"/>
      <c r="E76" s="406"/>
      <c r="F76" s="397"/>
      <c r="G76" s="427"/>
      <c r="O76" s="428"/>
    </row>
    <row r="77" spans="1:36" s="435" customFormat="1" x14ac:dyDescent="0.6">
      <c r="A77" s="429"/>
      <c r="B77" s="430"/>
      <c r="C77" s="431"/>
      <c r="D77" s="432"/>
      <c r="E77" s="433"/>
      <c r="F77" s="290"/>
      <c r="G77" s="434"/>
      <c r="O77" s="436"/>
    </row>
    <row r="78" spans="1:36" s="435" customFormat="1" x14ac:dyDescent="0.6">
      <c r="A78" s="429"/>
      <c r="B78" s="430"/>
      <c r="C78" s="431"/>
      <c r="D78" s="432"/>
      <c r="E78" s="433"/>
      <c r="F78" s="290"/>
      <c r="G78" s="434"/>
      <c r="O78" s="436"/>
    </row>
    <row r="79" spans="1:36" s="435" customFormat="1" x14ac:dyDescent="0.6">
      <c r="A79" s="429"/>
      <c r="B79" s="430"/>
      <c r="C79" s="431"/>
      <c r="D79" s="432"/>
      <c r="E79" s="433"/>
      <c r="F79" s="290"/>
      <c r="G79" s="434"/>
      <c r="O79" s="436"/>
    </row>
    <row r="80" spans="1:36" s="435" customFormat="1" x14ac:dyDescent="0.6">
      <c r="A80" s="429"/>
      <c r="B80" s="430"/>
      <c r="C80" s="431"/>
      <c r="D80" s="432"/>
      <c r="E80" s="433"/>
      <c r="F80" s="290"/>
      <c r="G80" s="434"/>
      <c r="O80" s="436"/>
    </row>
    <row r="81" spans="1:15" s="435" customFormat="1" ht="16.899999999999999" thickBot="1" x14ac:dyDescent="0.65">
      <c r="A81" s="429"/>
      <c r="B81" s="430"/>
      <c r="C81" s="431"/>
      <c r="D81" s="432"/>
      <c r="E81" s="433"/>
      <c r="F81" s="290"/>
      <c r="G81" s="434"/>
      <c r="O81" s="436"/>
    </row>
    <row r="82" spans="1:15" s="435" customFormat="1" ht="19.149999999999999" thickBot="1" x14ac:dyDescent="0.75">
      <c r="A82" s="429"/>
      <c r="B82" s="312" t="s">
        <v>138</v>
      </c>
      <c r="C82" s="313"/>
      <c r="D82" s="314">
        <f>SUM(D49:D81)</f>
        <v>61024983.291049808</v>
      </c>
      <c r="E82" s="314"/>
      <c r="F82" s="314">
        <f t="shared" ref="F82:G82" si="1">SUM(F49:F81)</f>
        <v>41578406.386283934</v>
      </c>
      <c r="G82" s="314">
        <f t="shared" si="1"/>
        <v>15250393.460532812</v>
      </c>
      <c r="O82" s="436"/>
    </row>
    <row r="83" spans="1:15" s="435" customFormat="1" x14ac:dyDescent="0.6">
      <c r="A83" s="429"/>
      <c r="B83" s="430"/>
      <c r="C83" s="431"/>
      <c r="D83" s="432"/>
      <c r="E83" s="433"/>
      <c r="F83" s="290"/>
      <c r="G83" s="434"/>
      <c r="O83" s="436"/>
    </row>
    <row r="84" spans="1:15" s="435" customFormat="1" ht="16.899999999999999" thickBot="1" x14ac:dyDescent="0.65">
      <c r="A84" s="277"/>
      <c r="B84" s="437" t="s">
        <v>173</v>
      </c>
      <c r="C84" s="438"/>
      <c r="D84" s="439"/>
      <c r="E84" s="440"/>
      <c r="F84" s="441">
        <f>[1]ASSUMPTIONS!$N$48/[1]ASSUMPTIONS!$O$48*'CAPEX ESTIMATE'!D76</f>
        <v>0</v>
      </c>
      <c r="G84" s="442"/>
      <c r="O84" s="443"/>
    </row>
    <row r="85" spans="1:15" s="435" customFormat="1" x14ac:dyDescent="0.6">
      <c r="A85" s="429"/>
      <c r="B85" s="444" t="s">
        <v>174</v>
      </c>
      <c r="C85" s="445"/>
      <c r="D85" s="446">
        <f>'[1]2027 ADMIN'!J126</f>
        <v>851250</v>
      </c>
      <c r="E85" s="447"/>
      <c r="F85" s="448"/>
      <c r="G85" s="434"/>
      <c r="O85" s="436"/>
    </row>
    <row r="86" spans="1:15" s="435" customFormat="1" x14ac:dyDescent="0.6">
      <c r="A86" s="429"/>
      <c r="B86" s="449" t="s">
        <v>175</v>
      </c>
      <c r="C86" s="450"/>
      <c r="D86" s="451">
        <f>'[1]2027 ADMIN'!J127</f>
        <v>516915</v>
      </c>
      <c r="E86" s="380"/>
      <c r="F86" s="452"/>
      <c r="G86" s="434"/>
      <c r="O86" s="436"/>
    </row>
    <row r="87" spans="1:15" s="435" customFormat="1" x14ac:dyDescent="0.6">
      <c r="A87" s="429"/>
      <c r="B87" s="449"/>
      <c r="C87" s="450"/>
      <c r="D87" s="451"/>
      <c r="E87" s="380"/>
      <c r="F87" s="452"/>
      <c r="G87" s="434"/>
      <c r="O87" s="436"/>
    </row>
    <row r="88" spans="1:15" s="435" customFormat="1" ht="16.899999999999999" thickBot="1" x14ac:dyDescent="0.65">
      <c r="A88" s="429"/>
      <c r="B88" s="453"/>
      <c r="C88" s="454"/>
      <c r="D88" s="455"/>
      <c r="E88" s="456"/>
      <c r="F88" s="457"/>
      <c r="G88" s="434"/>
      <c r="O88" s="436"/>
    </row>
    <row r="89" spans="1:15" s="435" customFormat="1" ht="19.149999999999999" thickBot="1" x14ac:dyDescent="0.75">
      <c r="A89" s="429"/>
      <c r="B89" s="458" t="s">
        <v>138</v>
      </c>
      <c r="C89" s="459"/>
      <c r="D89" s="460"/>
      <c r="E89" s="461"/>
      <c r="F89" s="462"/>
      <c r="G89" s="463"/>
      <c r="O89" s="436"/>
    </row>
    <row r="90" spans="1:15" s="435" customFormat="1" x14ac:dyDescent="0.6">
      <c r="A90" s="429"/>
      <c r="B90" s="430"/>
      <c r="C90" s="450"/>
      <c r="D90" s="432"/>
      <c r="E90" s="464"/>
      <c r="F90" s="300"/>
      <c r="G90" s="434"/>
      <c r="O90" s="436"/>
    </row>
    <row r="91" spans="1:15" s="435" customFormat="1" x14ac:dyDescent="0.6">
      <c r="A91" s="277"/>
      <c r="B91" s="437" t="s">
        <v>176</v>
      </c>
      <c r="C91" s="438"/>
      <c r="D91" s="439"/>
      <c r="E91" s="440"/>
      <c r="F91" s="441">
        <f>[1]ASSUMPTIONS!$N$48/[1]ASSUMPTIONS!$O$48*'CAPEX ESTIMATE'!D83</f>
        <v>0</v>
      </c>
      <c r="G91" s="442"/>
      <c r="O91" s="443"/>
    </row>
    <row r="92" spans="1:15" s="435" customFormat="1" x14ac:dyDescent="0.6">
      <c r="A92" s="465"/>
      <c r="B92" s="466"/>
      <c r="C92" s="450"/>
      <c r="D92" s="467"/>
      <c r="E92" s="464"/>
      <c r="F92" s="468"/>
      <c r="G92" s="434"/>
      <c r="O92" s="436"/>
    </row>
    <row r="93" spans="1:15" s="435" customFormat="1" x14ac:dyDescent="0.6">
      <c r="A93" s="469"/>
      <c r="B93" s="470"/>
      <c r="C93" s="450"/>
      <c r="D93" s="451"/>
      <c r="E93" s="380"/>
      <c r="F93" s="468"/>
      <c r="G93" s="434"/>
      <c r="O93" s="436"/>
    </row>
    <row r="94" spans="1:15" s="435" customFormat="1" x14ac:dyDescent="0.6">
      <c r="A94" s="469"/>
      <c r="B94" s="470"/>
      <c r="C94" s="450"/>
      <c r="D94" s="451"/>
      <c r="E94" s="380"/>
      <c r="F94" s="468"/>
      <c r="G94" s="434"/>
      <c r="O94" s="436"/>
    </row>
    <row r="95" spans="1:15" s="435" customFormat="1" x14ac:dyDescent="0.6">
      <c r="A95" s="469"/>
      <c r="B95" s="470"/>
      <c r="C95" s="450"/>
      <c r="D95" s="451"/>
      <c r="E95" s="380"/>
      <c r="F95" s="468"/>
      <c r="G95" s="434"/>
      <c r="O95" s="436"/>
    </row>
    <row r="96" spans="1:15" s="435" customFormat="1" x14ac:dyDescent="0.6">
      <c r="A96" s="465"/>
      <c r="B96" s="430"/>
      <c r="C96" s="450"/>
      <c r="D96" s="471"/>
      <c r="E96" s="464"/>
      <c r="F96" s="468"/>
      <c r="G96" s="434"/>
      <c r="O96" s="436"/>
    </row>
    <row r="97" spans="1:15" s="435" customFormat="1" x14ac:dyDescent="0.6">
      <c r="A97" s="277"/>
      <c r="B97" s="437" t="s">
        <v>177</v>
      </c>
      <c r="C97" s="472"/>
      <c r="D97" s="439"/>
      <c r="E97" s="440"/>
      <c r="F97" s="441">
        <v>0</v>
      </c>
      <c r="G97" s="473"/>
      <c r="O97" s="443"/>
    </row>
    <row r="98" spans="1:15" s="435" customFormat="1" x14ac:dyDescent="0.6">
      <c r="A98" s="465"/>
      <c r="B98" s="466"/>
      <c r="C98" s="450"/>
      <c r="D98" s="467"/>
      <c r="E98" s="464"/>
      <c r="F98" s="468"/>
      <c r="G98" s="434"/>
      <c r="O98" s="436"/>
    </row>
    <row r="99" spans="1:15" s="435" customFormat="1" x14ac:dyDescent="0.6">
      <c r="A99" s="469"/>
      <c r="B99" s="470"/>
      <c r="C99" s="450"/>
      <c r="D99" s="451"/>
      <c r="E99" s="380"/>
      <c r="F99" s="468"/>
      <c r="G99" s="434"/>
      <c r="O99" s="436"/>
    </row>
    <row r="100" spans="1:15" s="435" customFormat="1" x14ac:dyDescent="0.6">
      <c r="A100" s="469"/>
      <c r="B100" s="470"/>
      <c r="C100" s="450"/>
      <c r="D100" s="451"/>
      <c r="E100" s="380"/>
      <c r="F100" s="468"/>
      <c r="G100" s="434"/>
      <c r="O100" s="436"/>
    </row>
    <row r="101" spans="1:15" ht="16.899999999999999" thickBot="1" x14ac:dyDescent="0.65">
      <c r="A101" s="474"/>
      <c r="B101" s="475" t="s">
        <v>178</v>
      </c>
      <c r="C101" s="476"/>
      <c r="D101" s="477">
        <f>D23+D31+D46+D82+D89</f>
        <v>65885781.927492306</v>
      </c>
      <c r="E101" s="478"/>
      <c r="F101" s="479">
        <f>F23+F31+F46+F82+F89</f>
        <v>42712144.259191364</v>
      </c>
      <c r="G101" s="479">
        <f>G23+G31+G46+G82+G89</f>
        <v>16988453.436625384</v>
      </c>
      <c r="H101" s="480"/>
    </row>
    <row r="102" spans="1:15" x14ac:dyDescent="0.6">
      <c r="C102" s="261"/>
      <c r="G102" s="483"/>
    </row>
    <row r="103" spans="1:15" x14ac:dyDescent="0.6">
      <c r="C103" s="261"/>
    </row>
    <row r="104" spans="1:15" x14ac:dyDescent="0.6">
      <c r="C104" s="261"/>
      <c r="F104" s="484"/>
    </row>
  </sheetData>
  <mergeCells count="2">
    <mergeCell ref="B1:G1"/>
    <mergeCell ref="B2:G2"/>
  </mergeCells>
  <pageMargins left="0.05" right="0" top="0.75" bottom="0.75" header="0.3" footer="0.3"/>
  <pageSetup paperSize="7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SALES BUDGET</vt:lpstr>
      <vt:lpstr>COGS -Direct Materials</vt:lpstr>
      <vt:lpstr>COGS - Factory Overheads</vt:lpstr>
      <vt:lpstr>SG&amp;A Expense</vt:lpstr>
      <vt:lpstr>CAPEX ESTIMATE</vt:lpstr>
      <vt:lpstr>'COGS - Factory Overheads'!Print_Area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RETENTIVE</dc:creator>
  <cp:lastModifiedBy>RETENTIVE</cp:lastModifiedBy>
  <dcterms:created xsi:type="dcterms:W3CDTF">2026-10-16T21:48:13Z</dcterms:created>
  <dcterms:modified xsi:type="dcterms:W3CDTF">2026-10-16T21:49:56Z</dcterms:modified>
</cp:coreProperties>
</file>