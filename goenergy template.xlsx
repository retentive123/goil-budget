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oilghana-my.sharepoint.com/personal/sunday_oladele_goil_com_gh/Documents/Desktop/"/>
    </mc:Choice>
  </mc:AlternateContent>
  <xr:revisionPtr revIDLastSave="0" documentId="8_{80834A3A-9D37-4733-983B-55459F0E9233}" xr6:coauthVersionLast="47" xr6:coauthVersionMax="47" xr10:uidLastSave="{00000000-0000-0000-0000-000000000000}"/>
  <bookViews>
    <workbookView xWindow="-120" yWindow="-120" windowWidth="29040" windowHeight="15720" activeTab="4" xr2:uid="{495FE2A4-05A6-42DA-A3C2-E66EC7F0D023}"/>
  </bookViews>
  <sheets>
    <sheet name="Capital and Depn" sheetId="3" r:id="rId1"/>
    <sheet name="Recurrent Expenses" sheetId="1" r:id="rId2"/>
    <sheet name="Volumes" sheetId="2" r:id="rId3"/>
    <sheet name="Dep sche" sheetId="4" r:id="rId4"/>
    <sheet name="Purchases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0" i="5" l="1"/>
  <c r="B87" i="5"/>
  <c r="B84" i="5"/>
  <c r="B92" i="5" s="1"/>
  <c r="C79" i="5"/>
  <c r="D79" i="5" s="1"/>
  <c r="E79" i="5" s="1"/>
  <c r="B79" i="5"/>
  <c r="B78" i="5"/>
  <c r="C78" i="5" s="1"/>
  <c r="B77" i="5"/>
  <c r="C77" i="5" s="1"/>
  <c r="D77" i="5" s="1"/>
  <c r="E77" i="5" s="1"/>
  <c r="C76" i="5"/>
  <c r="D76" i="5" s="1"/>
  <c r="E76" i="5" s="1"/>
  <c r="B76" i="5"/>
  <c r="B75" i="5"/>
  <c r="C75" i="5" s="1"/>
  <c r="B74" i="5"/>
  <c r="C74" i="5" s="1"/>
  <c r="D74" i="5" s="1"/>
  <c r="E74" i="5" s="1"/>
  <c r="C73" i="5"/>
  <c r="D73" i="5" s="1"/>
  <c r="E73" i="5" s="1"/>
  <c r="B73" i="5"/>
  <c r="B72" i="5"/>
  <c r="C72" i="5" s="1"/>
  <c r="B68" i="5"/>
  <c r="B91" i="5" s="1"/>
  <c r="C67" i="5"/>
  <c r="D67" i="5" s="1"/>
  <c r="B67" i="5"/>
  <c r="B66" i="5"/>
  <c r="C66" i="5" s="1"/>
  <c r="B65" i="5"/>
  <c r="B88" i="5" s="1"/>
  <c r="C64" i="5"/>
  <c r="D64" i="5" s="1"/>
  <c r="B64" i="5"/>
  <c r="B63" i="5"/>
  <c r="B86" i="5" s="1"/>
  <c r="B62" i="5"/>
  <c r="B85" i="5" s="1"/>
  <c r="C61" i="5"/>
  <c r="D61" i="5" s="1"/>
  <c r="B61" i="5"/>
  <c r="L41" i="5"/>
  <c r="J41" i="5"/>
  <c r="I41" i="5"/>
  <c r="F41" i="5"/>
  <c r="B41" i="5"/>
  <c r="C41" i="5" s="1"/>
  <c r="E41" i="5" s="1"/>
  <c r="B39" i="5"/>
  <c r="C39" i="5" s="1"/>
  <c r="J38" i="5"/>
  <c r="I38" i="5"/>
  <c r="L38" i="5" s="1"/>
  <c r="F38" i="5"/>
  <c r="L37" i="5" s="1"/>
  <c r="B38" i="5"/>
  <c r="C38" i="5" s="1"/>
  <c r="E38" i="5" s="1"/>
  <c r="J37" i="5"/>
  <c r="I37" i="5"/>
  <c r="F37" i="5"/>
  <c r="B37" i="5"/>
  <c r="C37" i="5" s="1"/>
  <c r="E37" i="5" s="1"/>
  <c r="J36" i="5"/>
  <c r="L36" i="5" s="1"/>
  <c r="I36" i="5"/>
  <c r="F36" i="5"/>
  <c r="B36" i="5"/>
  <c r="C36" i="5" s="1"/>
  <c r="E36" i="5" s="1"/>
  <c r="J35" i="5"/>
  <c r="I35" i="5"/>
  <c r="L35" i="5" s="1"/>
  <c r="F35" i="5"/>
  <c r="L34" i="5" s="1"/>
  <c r="B35" i="5"/>
  <c r="C35" i="5" s="1"/>
  <c r="E35" i="5" s="1"/>
  <c r="J34" i="5"/>
  <c r="I34" i="5"/>
  <c r="F34" i="5"/>
  <c r="L33" i="5" s="1"/>
  <c r="C34" i="5"/>
  <c r="E34" i="5" s="1"/>
  <c r="B34" i="5"/>
  <c r="J33" i="5"/>
  <c r="I33" i="5"/>
  <c r="F33" i="5"/>
  <c r="B33" i="5"/>
  <c r="C33" i="5" s="1"/>
  <c r="E33" i="5" s="1"/>
  <c r="J32" i="5"/>
  <c r="I32" i="5"/>
  <c r="F32" i="5"/>
  <c r="B32" i="5"/>
  <c r="C32" i="5" s="1"/>
  <c r="E32" i="5" s="1"/>
  <c r="B15" i="5"/>
  <c r="C15" i="5" s="1"/>
  <c r="N14" i="5"/>
  <c r="N16" i="5" s="1"/>
  <c r="M14" i="5"/>
  <c r="L14" i="5"/>
  <c r="L13" i="5"/>
  <c r="B13" i="5"/>
  <c r="C13" i="5" s="1"/>
  <c r="O12" i="5"/>
  <c r="B12" i="5"/>
  <c r="C12" i="5" s="1"/>
  <c r="O11" i="5"/>
  <c r="B11" i="5"/>
  <c r="C11" i="5" s="1"/>
  <c r="O10" i="5"/>
  <c r="B10" i="5"/>
  <c r="B14" i="5" s="1"/>
  <c r="O9" i="5"/>
  <c r="B9" i="5"/>
  <c r="C9" i="5" s="1"/>
  <c r="O8" i="5"/>
  <c r="B8" i="5"/>
  <c r="C8" i="5" s="1"/>
  <c r="O7" i="5"/>
  <c r="B7" i="5"/>
  <c r="C7" i="5" s="1"/>
  <c r="S6" i="5"/>
  <c r="R6" i="5"/>
  <c r="O6" i="5"/>
  <c r="O14" i="5" s="1"/>
  <c r="O16" i="5" s="1"/>
  <c r="O18" i="5" s="1"/>
  <c r="C6" i="5"/>
  <c r="B6" i="5"/>
  <c r="B9" i="4"/>
  <c r="C9" i="4" s="1"/>
  <c r="D9" i="4" s="1"/>
  <c r="E9" i="4" s="1"/>
  <c r="F9" i="4" s="1"/>
  <c r="B8" i="4"/>
  <c r="C8" i="4" s="1"/>
  <c r="D8" i="4" s="1"/>
  <c r="E8" i="4" s="1"/>
  <c r="F8" i="4" s="1"/>
  <c r="B7" i="4"/>
  <c r="C7" i="4" s="1"/>
  <c r="D7" i="4" s="1"/>
  <c r="E7" i="4" s="1"/>
  <c r="F7" i="4" s="1"/>
  <c r="B6" i="4"/>
  <c r="C6" i="4" s="1"/>
  <c r="D6" i="4" s="1"/>
  <c r="E6" i="4" s="1"/>
  <c r="F6" i="4" s="1"/>
  <c r="B5" i="4"/>
  <c r="C5" i="4" s="1"/>
  <c r="D5" i="4" s="1"/>
  <c r="E5" i="4" s="1"/>
  <c r="F5" i="4" s="1"/>
  <c r="B4" i="4"/>
  <c r="B3" i="4"/>
  <c r="C3" i="4" s="1"/>
  <c r="D3" i="4" s="1"/>
  <c r="E3" i="4" s="1"/>
  <c r="F3" i="4" s="1"/>
  <c r="C51" i="3"/>
  <c r="C50" i="3"/>
  <c r="C49" i="3"/>
  <c r="C47" i="3"/>
  <c r="C46" i="3"/>
  <c r="C52" i="3" s="1"/>
  <c r="C40" i="3"/>
  <c r="C39" i="3"/>
  <c r="C38" i="3"/>
  <c r="C37" i="3"/>
  <c r="C36" i="3"/>
  <c r="C35" i="3"/>
  <c r="C34" i="3"/>
  <c r="C30" i="3"/>
  <c r="C29" i="3"/>
  <c r="C31" i="3" s="1"/>
  <c r="C23" i="3"/>
  <c r="C22" i="3"/>
  <c r="C21" i="3"/>
  <c r="C20" i="3"/>
  <c r="C19" i="3"/>
  <c r="C60" i="3" s="1"/>
  <c r="C18" i="3"/>
  <c r="C17" i="3"/>
  <c r="C25" i="3" s="1"/>
  <c r="C13" i="3"/>
  <c r="C12" i="3"/>
  <c r="B6" i="3"/>
  <c r="C42" i="3" s="1"/>
  <c r="E60" i="2"/>
  <c r="D60" i="2"/>
  <c r="F59" i="2"/>
  <c r="F58" i="2"/>
  <c r="F57" i="2"/>
  <c r="E57" i="2"/>
  <c r="D57" i="2"/>
  <c r="C56" i="2"/>
  <c r="G56" i="2" s="1"/>
  <c r="F55" i="2"/>
  <c r="C55" i="2"/>
  <c r="D53" i="2"/>
  <c r="D61" i="2" s="1"/>
  <c r="C53" i="2"/>
  <c r="G53" i="2" s="1"/>
  <c r="N48" i="2"/>
  <c r="F60" i="2" s="1"/>
  <c r="M48" i="2"/>
  <c r="L48" i="2"/>
  <c r="K48" i="2"/>
  <c r="J48" i="2"/>
  <c r="I48" i="2"/>
  <c r="H48" i="2"/>
  <c r="G48" i="2"/>
  <c r="F48" i="2"/>
  <c r="E48" i="2"/>
  <c r="D48" i="2"/>
  <c r="C48" i="2"/>
  <c r="C60" i="2" s="1"/>
  <c r="G60" i="2" s="1"/>
  <c r="N47" i="2"/>
  <c r="M47" i="2"/>
  <c r="L47" i="2"/>
  <c r="K47" i="2"/>
  <c r="J47" i="2"/>
  <c r="I47" i="2"/>
  <c r="E59" i="2" s="1"/>
  <c r="H47" i="2"/>
  <c r="G47" i="2"/>
  <c r="F47" i="2"/>
  <c r="D59" i="2" s="1"/>
  <c r="E47" i="2"/>
  <c r="D47" i="2"/>
  <c r="C47" i="2"/>
  <c r="O47" i="2" s="1"/>
  <c r="N46" i="2"/>
  <c r="M46" i="2"/>
  <c r="L46" i="2"/>
  <c r="K46" i="2"/>
  <c r="J46" i="2"/>
  <c r="I46" i="2"/>
  <c r="E58" i="2" s="1"/>
  <c r="H46" i="2"/>
  <c r="G46" i="2"/>
  <c r="F46" i="2"/>
  <c r="D58" i="2" s="1"/>
  <c r="E46" i="2"/>
  <c r="D46" i="2"/>
  <c r="C58" i="2" s="1"/>
  <c r="G58" i="2" s="1"/>
  <c r="C46" i="2"/>
  <c r="O46" i="2" s="1"/>
  <c r="N45" i="2"/>
  <c r="M45" i="2"/>
  <c r="L45" i="2"/>
  <c r="K45" i="2"/>
  <c r="J45" i="2"/>
  <c r="I45" i="2"/>
  <c r="H45" i="2"/>
  <c r="G45" i="2"/>
  <c r="F45" i="2"/>
  <c r="E45" i="2"/>
  <c r="D45" i="2"/>
  <c r="C57" i="2" s="1"/>
  <c r="G57" i="2" s="1"/>
  <c r="C45" i="2"/>
  <c r="O45" i="2" s="1"/>
  <c r="N44" i="2"/>
  <c r="M44" i="2"/>
  <c r="L44" i="2"/>
  <c r="F56" i="2" s="1"/>
  <c r="K44" i="2"/>
  <c r="J44" i="2"/>
  <c r="I44" i="2"/>
  <c r="E56" i="2" s="1"/>
  <c r="H44" i="2"/>
  <c r="G44" i="2"/>
  <c r="F44" i="2"/>
  <c r="D56" i="2" s="1"/>
  <c r="E44" i="2"/>
  <c r="D44" i="2"/>
  <c r="C44" i="2"/>
  <c r="O44" i="2" s="1"/>
  <c r="N43" i="2"/>
  <c r="M43" i="2"/>
  <c r="L43" i="2"/>
  <c r="K43" i="2"/>
  <c r="J43" i="2"/>
  <c r="I43" i="2"/>
  <c r="E55" i="2" s="1"/>
  <c r="H43" i="2"/>
  <c r="G43" i="2"/>
  <c r="D55" i="2" s="1"/>
  <c r="F43" i="2"/>
  <c r="E43" i="2"/>
  <c r="D43" i="2"/>
  <c r="C43" i="2"/>
  <c r="O43" i="2" s="1"/>
  <c r="N42" i="2"/>
  <c r="M42" i="2"/>
  <c r="L42" i="2"/>
  <c r="F54" i="2" s="1"/>
  <c r="K42" i="2"/>
  <c r="J42" i="2"/>
  <c r="I42" i="2"/>
  <c r="E54" i="2" s="1"/>
  <c r="H42" i="2"/>
  <c r="G42" i="2"/>
  <c r="D54" i="2" s="1"/>
  <c r="F42" i="2"/>
  <c r="E42" i="2"/>
  <c r="D42" i="2"/>
  <c r="C42" i="2"/>
  <c r="O42" i="2" s="1"/>
  <c r="N41" i="2"/>
  <c r="M41" i="2"/>
  <c r="L41" i="2"/>
  <c r="F53" i="2" s="1"/>
  <c r="F61" i="2" s="1"/>
  <c r="K41" i="2"/>
  <c r="J41" i="2"/>
  <c r="I41" i="2"/>
  <c r="E53" i="2" s="1"/>
  <c r="E61" i="2" s="1"/>
  <c r="H41" i="2"/>
  <c r="G41" i="2"/>
  <c r="F41" i="2"/>
  <c r="E41" i="2"/>
  <c r="D41" i="2"/>
  <c r="C41" i="2"/>
  <c r="O41" i="2" s="1"/>
  <c r="O38" i="2"/>
  <c r="O37" i="2"/>
  <c r="O36" i="2"/>
  <c r="O35" i="2"/>
  <c r="O34" i="2"/>
  <c r="O33" i="2"/>
  <c r="O32" i="2"/>
  <c r="O31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O38" i="5" l="1"/>
  <c r="N38" i="5"/>
  <c r="O33" i="5"/>
  <c r="N33" i="5"/>
  <c r="E67" i="5"/>
  <c r="E90" i="5" s="1"/>
  <c r="D90" i="5"/>
  <c r="O35" i="5"/>
  <c r="N35" i="5"/>
  <c r="M35" i="5"/>
  <c r="E61" i="5"/>
  <c r="E84" i="5" s="1"/>
  <c r="E92" i="5" s="1"/>
  <c r="D75" i="5"/>
  <c r="E75" i="5" s="1"/>
  <c r="C87" i="5"/>
  <c r="E64" i="5"/>
  <c r="E87" i="5" s="1"/>
  <c r="D87" i="5"/>
  <c r="M32" i="5"/>
  <c r="M36" i="5"/>
  <c r="O36" i="5"/>
  <c r="N36" i="5"/>
  <c r="C40" i="5"/>
  <c r="C14" i="5"/>
  <c r="N41" i="5"/>
  <c r="O41" i="5"/>
  <c r="M41" i="5"/>
  <c r="D66" i="5"/>
  <c r="C89" i="5"/>
  <c r="C90" i="5"/>
  <c r="D78" i="5"/>
  <c r="E78" i="5" s="1"/>
  <c r="N34" i="5"/>
  <c r="O34" i="5"/>
  <c r="N37" i="5"/>
  <c r="O37" i="5"/>
  <c r="M37" i="5"/>
  <c r="N18" i="5"/>
  <c r="N20" i="5"/>
  <c r="C84" i="5"/>
  <c r="C92" i="5" s="1"/>
  <c r="D72" i="5"/>
  <c r="E72" i="5" s="1"/>
  <c r="C10" i="5"/>
  <c r="C68" i="5"/>
  <c r="C63" i="5"/>
  <c r="M34" i="5"/>
  <c r="M33" i="5"/>
  <c r="B89" i="5"/>
  <c r="C62" i="5"/>
  <c r="L32" i="5"/>
  <c r="N32" i="5" s="1"/>
  <c r="N40" i="5" s="1"/>
  <c r="N42" i="5" s="1"/>
  <c r="N44" i="5" s="1"/>
  <c r="C65" i="5"/>
  <c r="B10" i="4"/>
  <c r="C10" i="4"/>
  <c r="C4" i="4"/>
  <c r="D4" i="4" s="1"/>
  <c r="E4" i="4" s="1"/>
  <c r="F4" i="4" s="1"/>
  <c r="B11" i="4"/>
  <c r="C11" i="4" s="1"/>
  <c r="D11" i="4" s="1"/>
  <c r="E11" i="4" s="1"/>
  <c r="F11" i="4" s="1"/>
  <c r="C24" i="3"/>
  <c r="C41" i="3"/>
  <c r="C43" i="3" s="1"/>
  <c r="C54" i="3" s="1"/>
  <c r="C11" i="3"/>
  <c r="C14" i="3" s="1"/>
  <c r="G55" i="2"/>
  <c r="C54" i="2"/>
  <c r="G54" i="2" s="1"/>
  <c r="G61" i="2" s="1"/>
  <c r="C59" i="2"/>
  <c r="G59" i="2" s="1"/>
  <c r="O48" i="2"/>
  <c r="O49" i="2" s="1"/>
  <c r="C85" i="5" l="1"/>
  <c r="D62" i="5"/>
  <c r="D65" i="5"/>
  <c r="C88" i="5"/>
  <c r="C86" i="5"/>
  <c r="D63" i="5"/>
  <c r="O32" i="5"/>
  <c r="O40" i="5" s="1"/>
  <c r="O42" i="5" s="1"/>
  <c r="O44" i="5" s="1"/>
  <c r="M40" i="5"/>
  <c r="C91" i="5"/>
  <c r="D68" i="5"/>
  <c r="D89" i="5"/>
  <c r="E66" i="5"/>
  <c r="E89" i="5" s="1"/>
  <c r="O20" i="5"/>
  <c r="N21" i="5"/>
  <c r="D84" i="5"/>
  <c r="D92" i="5" s="1"/>
  <c r="D10" i="4"/>
  <c r="C12" i="4"/>
  <c r="B12" i="4"/>
  <c r="C56" i="3"/>
  <c r="C58" i="3" s="1"/>
  <c r="C62" i="3" s="1"/>
  <c r="C61" i="2"/>
  <c r="E68" i="5" l="1"/>
  <c r="E91" i="5" s="1"/>
  <c r="D91" i="5"/>
  <c r="D86" i="5"/>
  <c r="E63" i="5"/>
  <c r="E86" i="5" s="1"/>
  <c r="D88" i="5"/>
  <c r="E65" i="5"/>
  <c r="E88" i="5" s="1"/>
  <c r="E62" i="5"/>
  <c r="E85" i="5" s="1"/>
  <c r="D85" i="5"/>
  <c r="E10" i="4"/>
  <c r="D12" i="4"/>
  <c r="E12" i="4" l="1"/>
  <c r="F10" i="4"/>
  <c r="F12" i="4" s="1"/>
  <c r="I143" i="1" l="1"/>
  <c r="K140" i="1"/>
  <c r="J140" i="1"/>
  <c r="I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20" i="1"/>
  <c r="J120" i="1"/>
  <c r="K119" i="1"/>
  <c r="J119" i="1"/>
  <c r="K118" i="1"/>
  <c r="K117" i="1"/>
  <c r="K116" i="1"/>
  <c r="J116" i="1"/>
  <c r="K115" i="1"/>
  <c r="J115" i="1"/>
  <c r="K114" i="1"/>
  <c r="J114" i="1"/>
  <c r="K113" i="1"/>
  <c r="J113" i="1"/>
  <c r="I110" i="1"/>
  <c r="K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4" i="1"/>
  <c r="J94" i="1"/>
  <c r="K93" i="1"/>
  <c r="J93" i="1"/>
  <c r="K92" i="1"/>
  <c r="J92" i="1"/>
  <c r="K89" i="1"/>
  <c r="J89" i="1"/>
  <c r="K88" i="1"/>
  <c r="J88" i="1"/>
  <c r="K87" i="1"/>
  <c r="J87" i="1"/>
  <c r="K86" i="1"/>
  <c r="J86" i="1"/>
  <c r="K83" i="1"/>
  <c r="J83" i="1"/>
  <c r="K82" i="1"/>
  <c r="J82" i="1"/>
  <c r="K81" i="1"/>
  <c r="J81" i="1"/>
  <c r="K79" i="1"/>
  <c r="J79" i="1"/>
  <c r="K78" i="1"/>
  <c r="J78" i="1"/>
  <c r="K77" i="1"/>
  <c r="J77" i="1"/>
  <c r="K76" i="1"/>
  <c r="J76" i="1"/>
  <c r="K75" i="1"/>
  <c r="J75" i="1"/>
  <c r="K74" i="1"/>
  <c r="J74" i="1"/>
  <c r="J71" i="1"/>
  <c r="K70" i="1"/>
  <c r="J70" i="1"/>
  <c r="K69" i="1"/>
  <c r="J69" i="1"/>
  <c r="K68" i="1"/>
  <c r="J68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3" i="1"/>
  <c r="J53" i="1"/>
  <c r="J52" i="1"/>
  <c r="K51" i="1"/>
  <c r="J51" i="1"/>
  <c r="K50" i="1"/>
  <c r="J50" i="1"/>
  <c r="K49" i="1"/>
  <c r="J49" i="1"/>
  <c r="K48" i="1"/>
  <c r="J48" i="1"/>
  <c r="K47" i="1"/>
  <c r="J47" i="1"/>
  <c r="K43" i="1"/>
  <c r="J43" i="1"/>
  <c r="J42" i="1"/>
  <c r="K40" i="1"/>
  <c r="J40" i="1"/>
  <c r="K36" i="1"/>
  <c r="J36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I21" i="1"/>
  <c r="J15" i="1"/>
  <c r="J14" i="1"/>
  <c r="K12" i="1"/>
  <c r="J12" i="1"/>
  <c r="J11" i="1"/>
  <c r="K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5" authorId="0" shapeId="0" xr:uid="{9D7F87B4-698C-49CA-BB33-32965ECE3BE5}">
      <text>
        <r>
          <rPr>
            <sz val="11"/>
            <color theme="1"/>
            <rFont val="Calibri"/>
            <family val="2"/>
          </rPr>
          <t>Microsoft Office User:
provide basis for 56,000$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Amentor Aziakar</author>
    <author>User</author>
  </authors>
  <commentList>
    <comment ref="M14" authorId="0" shapeId="0" xr:uid="{F9573D3E-B0FB-4409-98E5-4ABC8EBB9389}">
      <text>
        <r>
          <rPr>
            <sz val="11"/>
            <color theme="1"/>
            <rFont val="Calibri"/>
            <family val="2"/>
          </rPr>
          <t>Microsoft Office User:
nss, attachment, secondment etc</t>
        </r>
      </text>
    </comment>
    <comment ref="N14" authorId="0" shapeId="0" xr:uid="{16F84E49-3F16-45E6-9FB5-058411B40C9F}">
      <text>
        <r>
          <rPr>
            <sz val="11"/>
            <color theme="1"/>
            <rFont val="Calibri"/>
            <family val="2"/>
          </rPr>
          <t>Microsoft Office User:
nss, attachment, secondment etc</t>
        </r>
      </text>
    </comment>
    <comment ref="H34" authorId="1" shapeId="0" xr:uid="{0E28509A-7754-44CD-9F1C-F69D3CAD1FEE}">
      <text>
        <r>
          <rPr>
            <sz val="11"/>
            <color theme="1"/>
            <rFont val="Calibri"/>
            <family val="2"/>
          </rPr>
          <t>Amentor Aziakar:
Budget repeated for expenditure in late October - November 19</t>
        </r>
      </text>
    </comment>
    <comment ref="H40" authorId="1" shapeId="0" xr:uid="{C2898B8F-43CC-429B-B3E7-9BB68171E323}">
      <text>
        <r>
          <rPr>
            <sz val="11"/>
            <color theme="1"/>
            <rFont val="Calibri"/>
            <family val="2"/>
          </rPr>
          <t>Amentor Aziakar:
Deduct 23,695.11 from another source</t>
        </r>
      </text>
    </comment>
    <comment ref="H61" authorId="1" shapeId="0" xr:uid="{A73B62E4-77EC-4793-AFEE-8BC6370F080F}">
      <text>
        <r>
          <rPr>
            <sz val="11"/>
            <color theme="1"/>
            <rFont val="Calibri"/>
            <family val="2"/>
          </rPr>
          <t>Amentor Aziakar:
deduct from other sources</t>
        </r>
      </text>
    </comment>
    <comment ref="B102" authorId="2" shapeId="0" xr:uid="{A853C12C-79A1-4C44-B3BE-E132F45344AA}">
      <text>
        <r>
          <rPr>
            <sz val="11"/>
            <color theme="1"/>
            <rFont val="Calibri"/>
            <family val="2"/>
          </rPr>
          <t>User:
Finance to give account number for this</t>
        </r>
      </text>
    </comment>
    <comment ref="H113" authorId="1" shapeId="0" xr:uid="{A411FDCE-9723-43E2-9CB0-C4D0EBFE0D67}">
      <text>
        <r>
          <rPr>
            <sz val="11"/>
            <color theme="1"/>
            <rFont val="Calibri"/>
            <family val="2"/>
          </rPr>
          <t>Amentor Aziakar:
20800</t>
        </r>
      </text>
    </comment>
  </commentList>
</comments>
</file>

<file path=xl/sharedStrings.xml><?xml version="1.0" encoding="utf-8"?>
<sst xmlns="http://schemas.openxmlformats.org/spreadsheetml/2006/main" count="427" uniqueCount="283">
  <si>
    <t>GOENERGY LIMITED | 2026 RECURRENT EXPENDITURE</t>
  </si>
  <si>
    <t>GOENERGY LIMITED</t>
  </si>
  <si>
    <t>2026 RECURRENT EXPENDITURE BUDGET</t>
  </si>
  <si>
    <t>DESCRIPTION OF BUDGET ITEM</t>
  </si>
  <si>
    <t>2026 BUDGET</t>
  </si>
  <si>
    <t>2025 ACTUAL PROJECTION (LE)</t>
  </si>
  <si>
    <t>ACTUALS AS AT 30TH  SEPT  2025</t>
  </si>
  <si>
    <t>2025 BUDGET</t>
  </si>
  <si>
    <t>2025 PROJECTED vs 2025 BUDGET</t>
  </si>
  <si>
    <t>2026 BUDGET vs 2025 PROJECTED</t>
  </si>
  <si>
    <t>1. SALARIES AND ALLOWANCES</t>
  </si>
  <si>
    <t>Normal Salaries</t>
  </si>
  <si>
    <t>13.0% Social Security Contribution</t>
  </si>
  <si>
    <t>10% PF</t>
  </si>
  <si>
    <t>Annual Bonus</t>
  </si>
  <si>
    <t>13th Mth Salary</t>
  </si>
  <si>
    <t xml:space="preserve">Other Allowances  </t>
  </si>
  <si>
    <t>SUB  TOTAL</t>
  </si>
  <si>
    <t>SUB -TOTAL</t>
  </si>
  <si>
    <t>Contingency</t>
  </si>
  <si>
    <t>SUB-TOTAL</t>
  </si>
  <si>
    <t xml:space="preserve"> </t>
  </si>
  <si>
    <t>2. DOMESTIC TRAVELLING &amp; TRANSPORT</t>
  </si>
  <si>
    <t>Travelling, Mission and Accommodation Expenses</t>
  </si>
  <si>
    <t>3. OTHER PERSONNEL COST</t>
  </si>
  <si>
    <t>International Travels(Ticketing/Accommodation)</t>
  </si>
  <si>
    <t>Staff Training - External (Fees/Per diem)</t>
  </si>
  <si>
    <t xml:space="preserve">Other External Training  (GOIL)  </t>
  </si>
  <si>
    <t>External Business(local travel)</t>
  </si>
  <si>
    <t>Staff Training Expenses (Local)</t>
  </si>
  <si>
    <t>*60607000</t>
  </si>
  <si>
    <t xml:space="preserve">Medical Expenses </t>
  </si>
  <si>
    <t>Medical Examination (Yearly)</t>
  </si>
  <si>
    <t>Head Office  (Rent)</t>
  </si>
  <si>
    <t>Laundry Expenses(Admin)</t>
  </si>
  <si>
    <t>Subsidised Meals</t>
  </si>
  <si>
    <t>End of Year Actvities/Long Service Award</t>
  </si>
  <si>
    <t xml:space="preserve">Staff Welfare and Food Package (Admin) </t>
  </si>
  <si>
    <t>Fitness &amp; Recreation Assistance(Admin)</t>
  </si>
  <si>
    <t>4. VARIOUS MATERIALS</t>
  </si>
  <si>
    <t>Materials to warehouse</t>
  </si>
  <si>
    <t>Stationery &amp; Printing</t>
  </si>
  <si>
    <t>Computer Forms and Accessories</t>
  </si>
  <si>
    <t>Uniform For  Friday Wear</t>
  </si>
  <si>
    <t>5. UTILITIES</t>
  </si>
  <si>
    <t>Electricity - Offices</t>
  </si>
  <si>
    <t>Electricity -Houses</t>
  </si>
  <si>
    <t>Electricity - Depots</t>
  </si>
  <si>
    <t>Water  -  Offices</t>
  </si>
  <si>
    <t>Water - Depots</t>
  </si>
  <si>
    <t>Water - house</t>
  </si>
  <si>
    <t>6.  MAINTENANCE &amp; RUNNING COST</t>
  </si>
  <si>
    <t>Vehicle Maintenance</t>
  </si>
  <si>
    <t>Terminal Maintenance</t>
  </si>
  <si>
    <t>Cost of Lubes consumed</t>
  </si>
  <si>
    <t>Internal Consumption-Vehicle Fuel/Running Cost</t>
  </si>
  <si>
    <t>Office Maintenance</t>
  </si>
  <si>
    <t>General Office Equipment Mtce</t>
  </si>
  <si>
    <t xml:space="preserve">Computer, Software &amp; Network Mtce </t>
  </si>
  <si>
    <t>Software License (ERP/Microsoft) etc</t>
  </si>
  <si>
    <t>Executive House Mtce</t>
  </si>
  <si>
    <t>7. VARIOUS SERVICES</t>
  </si>
  <si>
    <t>Security &amp; Other Services</t>
  </si>
  <si>
    <t>Casual Labour</t>
  </si>
  <si>
    <t>Janitorial and Ground Maintenance</t>
  </si>
  <si>
    <t>8.  PROFESSIONAL SERVICE</t>
  </si>
  <si>
    <t>Directors remuneration</t>
  </si>
  <si>
    <t>Directors Other Expenses</t>
  </si>
  <si>
    <t>Legal Expenses &amp; Stamp Duty</t>
  </si>
  <si>
    <t>Auditors Fees</t>
  </si>
  <si>
    <t>Quantity and Quality third party survey</t>
  </si>
  <si>
    <t>Standard Authority &amp; Statutory Inspection Fees(OM)</t>
  </si>
  <si>
    <t>Various Professional  &amp; Technical Services</t>
  </si>
  <si>
    <t>Stock Exchange Expenses</t>
  </si>
  <si>
    <t>Annual General Meeting</t>
  </si>
  <si>
    <t>9. TAXES/LEVIES/PERMITS</t>
  </si>
  <si>
    <t>61604000FINHOF</t>
  </si>
  <si>
    <t>Acquisition of permits (EPA,  NPA, etc)</t>
  </si>
  <si>
    <t>Property rates</t>
  </si>
  <si>
    <t>Vehicle Licence/Rd. Worthy</t>
  </si>
  <si>
    <t>10. EQUIPMENT HIRING &amp; RENTAL</t>
  </si>
  <si>
    <t>Building Rents / Offices</t>
  </si>
  <si>
    <t>Equipment hiring</t>
  </si>
  <si>
    <t xml:space="preserve"> Courier &amp; Dispatch/Tel</t>
  </si>
  <si>
    <t>11. INSURANCE PREMIUM</t>
  </si>
  <si>
    <t>Fire &amp; Burglary</t>
  </si>
  <si>
    <t>Vehicle Insurance</t>
  </si>
  <si>
    <t>Product at Depots</t>
  </si>
  <si>
    <t>Directors Indemnity</t>
  </si>
  <si>
    <t>Group Personal Accident-covered</t>
  </si>
  <si>
    <t>Group Life Insurance (Comprehensive)</t>
  </si>
  <si>
    <t>12. SALES PROMOTION &amp; ADVERTISING</t>
  </si>
  <si>
    <t>Advertising</t>
  </si>
  <si>
    <t>Seasonal/end-of-year promotions</t>
  </si>
  <si>
    <t>Sales &amp; business promotion</t>
  </si>
  <si>
    <t xml:space="preserve">13. OTHER COSTS </t>
  </si>
  <si>
    <t>Subscriptions</t>
  </si>
  <si>
    <t>Specific Charity / Sponsorship</t>
  </si>
  <si>
    <t>Donations</t>
  </si>
  <si>
    <t>Entertainment</t>
  </si>
  <si>
    <t>Commercial Information</t>
  </si>
  <si>
    <t>Honorarium</t>
  </si>
  <si>
    <t>Archiving</t>
  </si>
  <si>
    <t>14. DEPRECIATION OF FIXED ASSETS</t>
  </si>
  <si>
    <t>15. FINANCIAL  CHARGES</t>
  </si>
  <si>
    <t>Exchange Loss  &amp; inventory losses</t>
  </si>
  <si>
    <t>SUB TOTAL</t>
  </si>
  <si>
    <t>16. HEALTH  SAFETY  &amp;  ENVIRONMENT</t>
  </si>
  <si>
    <t>HSE Programmes</t>
  </si>
  <si>
    <t>Drills, Exercises and Simulations</t>
  </si>
  <si>
    <t>Personal Protective Equipments (Boots, Gloves, Nose Mask, Ear Plugs, Helmets, Relectors, Life Vest etc.)</t>
  </si>
  <si>
    <t xml:space="preserve">Oil Spill Emergency Response Equipment Maintenance </t>
  </si>
  <si>
    <t>HSSE General Equipment Maintenance and Assesoceries (Intrinsic Torch, Detectors, LOTO Kits, Breathlysers.)</t>
  </si>
  <si>
    <t>HSSE Signages (Markings, Signboards, Posters, Stickers)</t>
  </si>
  <si>
    <t>HSSE Awards and Incentives (Quaterly and End of Year)</t>
  </si>
  <si>
    <t>Fire Protection</t>
  </si>
  <si>
    <t>Security and Safety</t>
  </si>
  <si>
    <t>Total Recurrent Expenses</t>
  </si>
  <si>
    <t>EXCL. DEPRECIATION</t>
  </si>
  <si>
    <t>Financial Charges</t>
  </si>
  <si>
    <t>ATTACHMENT A</t>
  </si>
  <si>
    <t xml:space="preserve">2026   BUDGET - VOLUMES </t>
  </si>
  <si>
    <t>PRODUCT</t>
  </si>
  <si>
    <t>MONTHLY 2026 Sales Volume</t>
  </si>
  <si>
    <t>2026 Budget Volume of Sales</t>
  </si>
  <si>
    <t>2025 Projected Sales</t>
  </si>
  <si>
    <t>2025 Budget Volume of Sales</t>
  </si>
  <si>
    <t>% of 2026  Budget sales  over 2025 Projected</t>
  </si>
  <si>
    <t>% of 2025  projected sales over 2025 Budgeted</t>
  </si>
  <si>
    <t>As  at  30 SEP 2025</t>
  </si>
  <si>
    <t>2024 Actual</t>
  </si>
  <si>
    <t>2023 Actuals</t>
  </si>
  <si>
    <t>2022 Actuals</t>
  </si>
  <si>
    <t>2021 Actuals</t>
  </si>
  <si>
    <t>GASOLINE (PMS)</t>
  </si>
  <si>
    <t>GASOIL (AGO)</t>
  </si>
  <si>
    <t>MARINE GASOIL-LOCAL</t>
  </si>
  <si>
    <t>MARINE GASOIL -RIG &amp; FOREIGN</t>
  </si>
  <si>
    <t>AGO EXPORT</t>
  </si>
  <si>
    <t>AGO MINES</t>
  </si>
  <si>
    <t>JET A1</t>
  </si>
  <si>
    <t>HFO</t>
  </si>
  <si>
    <t>Total</t>
  </si>
  <si>
    <t>LPGas /Kg</t>
  </si>
  <si>
    <t>Quarterly Sales</t>
  </si>
  <si>
    <t>Seasonal Sales</t>
  </si>
  <si>
    <t xml:space="preserve">Monthly Sales Volume Proportion to Annual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</si>
  <si>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</si>
  <si>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</si>
  <si>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</si>
  <si>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</si>
  <si>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</si>
  <si>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</si>
  <si>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</si>
  <si>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</si>
  <si>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</si>
  <si>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</si>
  <si>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</si>
  <si>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</si>
  <si>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</si>
  <si>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Gasoline PMS 95</t>
  </si>
  <si>
    <t xml:space="preserve">Gasoil </t>
  </si>
  <si>
    <t>MGO Local</t>
  </si>
  <si>
    <t>MGO Foreign</t>
  </si>
  <si>
    <t>AGO Export</t>
  </si>
  <si>
    <t>AGO Mines</t>
  </si>
  <si>
    <t>ATK</t>
  </si>
  <si>
    <t>LPG</t>
  </si>
  <si>
    <t xml:space="preserve">Sales Volume </t>
  </si>
  <si>
    <t>2026 Q1</t>
  </si>
  <si>
    <t>2026 Q2</t>
  </si>
  <si>
    <t>2026 Q3</t>
  </si>
  <si>
    <t>2026 Q4</t>
  </si>
  <si>
    <t>ATTACHMENT D</t>
  </si>
  <si>
    <t>2026 CAPITAL EXPENDITURE BUDGET</t>
  </si>
  <si>
    <t>Budget Assumptions:</t>
  </si>
  <si>
    <t xml:space="preserve">Exchange Rate </t>
  </si>
  <si>
    <t>Qty</t>
  </si>
  <si>
    <t>Amount (GH ¢)</t>
  </si>
  <si>
    <t>Amount US $)</t>
  </si>
  <si>
    <t>Estimated Volume</t>
  </si>
  <si>
    <t>IRR</t>
  </si>
  <si>
    <t>PAYBACK YRS</t>
  </si>
  <si>
    <t>RANKING</t>
  </si>
  <si>
    <t xml:space="preserve">A.  CONSTRUCTION WORKS AT TDI AND SEK TERMINALS </t>
  </si>
  <si>
    <t>New fuel receipt line at the reclaimed land (log pond)</t>
  </si>
  <si>
    <t>Extension of TDH Office and Accessories</t>
  </si>
  <si>
    <t>Upgrade of Bondwalls -Sekondi Takoradi</t>
  </si>
  <si>
    <t>B.  TERMINAL AND OPERATIONAL EQUIPMENT</t>
  </si>
  <si>
    <t>Firefighting pipeline upgrade Takoradi</t>
  </si>
  <si>
    <t>Introduction of stop valve after water tank</t>
  </si>
  <si>
    <t>Firefighting unit upgrade Sekondi</t>
  </si>
  <si>
    <t>Power and Comms Cable Restoration Takoradi</t>
  </si>
  <si>
    <t>Power and Comms Cable Restoration Sekondi</t>
  </si>
  <si>
    <t>TDH ATEC Light</t>
  </si>
  <si>
    <t>Yokogawa Systems Re-activation</t>
  </si>
  <si>
    <t>SNB SCADA System Software Upgrade</t>
  </si>
  <si>
    <t>6 inch Receiving Hose (4x40m)</t>
  </si>
  <si>
    <t>C.  MOTOR  VEHICLES</t>
  </si>
  <si>
    <t>L200 Pickup (4X4)</t>
  </si>
  <si>
    <t>i10 Hyundai</t>
  </si>
  <si>
    <t>D.  COMPUTERS &amp; SOFTWARE</t>
  </si>
  <si>
    <t>Enterprise Systems (ERPs)</t>
  </si>
  <si>
    <t xml:space="preserve">Sunsystems, </t>
  </si>
  <si>
    <t>Network Infrastructure</t>
  </si>
  <si>
    <t>Server room upgrade with security</t>
  </si>
  <si>
    <t>Laser Printer</t>
  </si>
  <si>
    <t>Heavy duty central office printer</t>
  </si>
  <si>
    <t>Laptop</t>
  </si>
  <si>
    <t>Access Control</t>
  </si>
  <si>
    <t>Desktop</t>
  </si>
  <si>
    <t>Computer Server</t>
  </si>
  <si>
    <t>Rakes, Backup servers</t>
  </si>
  <si>
    <t>Scanners</t>
  </si>
  <si>
    <t>UPS Devices</t>
  </si>
  <si>
    <t>confirm estimate</t>
  </si>
  <si>
    <t xml:space="preserve">E.  HSSE &amp; QUALITY </t>
  </si>
  <si>
    <t>CCTV Upgrade</t>
  </si>
  <si>
    <t>Upgrade of GOIL Exec. Center/Others</t>
  </si>
  <si>
    <t>HSSE ISO Certification</t>
  </si>
  <si>
    <t>Incident Reporting System</t>
  </si>
  <si>
    <t>CMP/IMS/ - implementation</t>
  </si>
  <si>
    <t>ERP/IMS/Site Plans for the Group</t>
  </si>
  <si>
    <t>Intrinsically Safe Atex Camera/Explosion Proof Tablet</t>
  </si>
  <si>
    <t>Thickness Gauge Device</t>
  </si>
  <si>
    <t>TOTALS</t>
  </si>
  <si>
    <t>ADD CONTINGENCY 5%</t>
  </si>
  <si>
    <t>GRAND TOTAL</t>
  </si>
  <si>
    <t>Less: Cost of cable installation</t>
  </si>
  <si>
    <t xml:space="preserve">Revised Capex </t>
  </si>
  <si>
    <t>Capital Expenditure GHS'000</t>
  </si>
  <si>
    <t>2024 Budget</t>
  </si>
  <si>
    <t>Construction of New Depot/Land Preparation</t>
  </si>
  <si>
    <t>Rehabilation of Head Office E-Centre</t>
  </si>
  <si>
    <t xml:space="preserve">Terminal and Operational Equipment </t>
  </si>
  <si>
    <t>Motor Vehicles</t>
  </si>
  <si>
    <t>Office &amp; Household Equipment</t>
  </si>
  <si>
    <t>Computers &amp; Software</t>
  </si>
  <si>
    <t xml:space="preserve">HSSE &amp; Quality </t>
  </si>
  <si>
    <t>Sub-Total</t>
  </si>
  <si>
    <t>Contigencies</t>
  </si>
  <si>
    <t>2026 Budget</t>
  </si>
  <si>
    <t xml:space="preserve">CONSTRUCTION WORKS AT TDI AND SEK TERMINALS </t>
  </si>
  <si>
    <t>TERMINAL AND OPERATIONAL EQUIPMENT</t>
  </si>
  <si>
    <t>MOTOR  VEHICLES</t>
  </si>
  <si>
    <t>COMPUTERS &amp; SOFTWARE</t>
  </si>
  <si>
    <t xml:space="preserve">HSSE &amp; QUALITY </t>
  </si>
  <si>
    <t>2026   BUDGET - PURCHASES</t>
  </si>
  <si>
    <t xml:space="preserve">MONTHLY </t>
  </si>
  <si>
    <t>2026 BUDGET SALES VOLUME</t>
  </si>
  <si>
    <t>FACTOR</t>
  </si>
  <si>
    <t xml:space="preserve"> MONTHLY MT</t>
  </si>
  <si>
    <t>UNIT  FOB COST $/MT</t>
  </si>
  <si>
    <t>SUPPLIERS PREMIUM</t>
  </si>
  <si>
    <t>CBM CHARGES</t>
  </si>
  <si>
    <t>STORAGE AND RACK LOADING</t>
  </si>
  <si>
    <t>PORT RELATED CHARGES</t>
  </si>
  <si>
    <t>ESCALATION AND DEESCALATION</t>
  </si>
  <si>
    <t>TOTAL COST OF SALE $/MT</t>
  </si>
  <si>
    <t>MONTHLY  FOB PURCHASES</t>
  </si>
  <si>
    <t>ANNUAL COST OF SALE</t>
  </si>
  <si>
    <t>MONTHLY COST OF SALE</t>
  </si>
  <si>
    <t>ANNUALLY</t>
  </si>
  <si>
    <t>We assume prices will go up by 5%</t>
  </si>
  <si>
    <t>GHS</t>
  </si>
  <si>
    <t xml:space="preserve">EIA  2026 </t>
  </si>
  <si>
    <t>EIA  22025</t>
  </si>
  <si>
    <t>GROWTH</t>
  </si>
  <si>
    <t>Quarterly Cost of Sales</t>
  </si>
  <si>
    <t xml:space="preserve">2025 Q4 Budgeted Purchases </t>
  </si>
  <si>
    <t xml:space="preserve">Q4 2025  </t>
  </si>
  <si>
    <t>Q4 Budgeted Monthly Sales Volume</t>
  </si>
  <si>
    <t>Suppliers Premium</t>
  </si>
  <si>
    <t>cbm charges</t>
  </si>
  <si>
    <t>Storage and rack loading</t>
  </si>
  <si>
    <t>Port related charges</t>
  </si>
  <si>
    <t>Escalation and deescalation</t>
  </si>
  <si>
    <t>Total Cost of Sale $/MT</t>
  </si>
  <si>
    <t>Q4 COST OF SALES</t>
  </si>
  <si>
    <t>Conversion Factor</t>
  </si>
  <si>
    <t>Exchange Rate</t>
  </si>
  <si>
    <t>COST OF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</si>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</sst>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;[Red]\(#,##0\);&quot;-&quot;"/>
    <numFmt numFmtId="167" formatCode="_-* #,##0.00_-;\-* #,##0.00_-;_-* &quot;-&quot;??_-;_-@_-"/>
    <numFmt numFmtId="168" formatCode="_(* #,##0.000_);_(* \(#,##0.000\);_(* &quot;-&quot;??_);_(@_)"/>
    <numFmt numFmtId="169" formatCode="_-* #,##0_-;\-* #,##0_-;_-* &quot;-&quot;??_-;_-@_-"/>
    <numFmt numFmtId="170" formatCode="_(* #,##0.0000_);_(* \(#,##0.0000\);_(* &quot;-&quot;??_);_(@_)"/>
    <numFmt numFmtId="171" formatCode="_(* #,##0_);_(* \(#,##0\);_(* &quot;&quot;\ \-\ &quot;&quot;_);_(@_)"/>
    <numFmt numFmtId="174" formatCode="_(* #,##0.0_);_(* \(#,##0.0\);_(* &quot;-&quot;??_);_(@_)"/>
  </numFmts>
  <fonts count="82" x14ac:knownFonts="1">
    <font>
      <sz val="11"/>
      <color theme="1"/>
      <name val="Calibri"/>
    </font>
    <font>
      <b/>
      <sz val="12"/>
      <color rgb="FFFFFFFF"/>
      <name val="Arial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2"/>
      <name val="Arial"/>
      <family val="2"/>
    </font>
    <font>
      <b/>
      <sz val="12"/>
      <name val="Cambria"/>
      <family val="1"/>
    </font>
    <font>
      <sz val="12"/>
      <name val="Cambria"/>
      <family val="1"/>
    </font>
    <font>
      <b/>
      <sz val="12"/>
      <color rgb="FF172B4D"/>
      <name val="Cambria"/>
      <family val="1"/>
    </font>
    <font>
      <b/>
      <sz val="16"/>
      <name val="Cambria"/>
      <family val="1"/>
    </font>
    <font>
      <b/>
      <sz val="18"/>
      <color rgb="FFFFFFFF"/>
      <name val="Cambria"/>
      <family val="1"/>
    </font>
    <font>
      <b/>
      <sz val="18"/>
      <name val="Cambria"/>
      <family val="1"/>
    </font>
    <font>
      <b/>
      <sz val="16"/>
      <color rgb="FF000000"/>
      <name val="Cambria"/>
      <family val="1"/>
    </font>
    <font>
      <sz val="18"/>
      <name val="Cambria"/>
      <family val="1"/>
    </font>
    <font>
      <sz val="18"/>
      <color rgb="FF000000"/>
      <name val="Times New Roman"/>
      <family val="1"/>
    </font>
    <font>
      <sz val="18"/>
      <color rgb="FF000000"/>
      <name val="Cambria"/>
      <family val="1"/>
    </font>
    <font>
      <sz val="14"/>
      <color rgb="FF000000"/>
      <name val="Times New Roman"/>
      <family val="1"/>
    </font>
    <font>
      <sz val="16"/>
      <color rgb="FF000000"/>
      <name val="Cambria"/>
      <family val="1"/>
    </font>
    <font>
      <sz val="11"/>
      <color rgb="FF000000"/>
      <name val="Calibri"/>
      <family val="2"/>
    </font>
    <font>
      <sz val="16"/>
      <name val="Cambria"/>
      <family val="1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14"/>
      <name val="Times New Roman"/>
      <family val="1"/>
    </font>
    <font>
      <b/>
      <sz val="12"/>
      <name val="Arial"/>
      <family val="2"/>
    </font>
    <font>
      <b/>
      <sz val="18"/>
      <color rgb="FF000000"/>
      <name val="Cambria"/>
      <family val="1"/>
    </font>
    <font>
      <b/>
      <sz val="14"/>
      <color rgb="FF000000"/>
      <name val="Cambria"/>
      <family val="1"/>
    </font>
    <font>
      <sz val="14"/>
      <name val="Cambria"/>
      <family val="1"/>
    </font>
    <font>
      <sz val="12"/>
      <color rgb="FF000000"/>
      <name val="Cambria"/>
      <family val="1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6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6"/>
      <color rgb="FF00000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</font>
    <font>
      <sz val="22"/>
      <color theme="1"/>
      <name val="Calibri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sz val="14"/>
      <name val="Bookman Old Style"/>
      <family val="1"/>
    </font>
    <font>
      <sz val="14"/>
      <color rgb="FF000000"/>
      <name val="Arial"/>
      <family val="2"/>
    </font>
    <font>
      <b/>
      <sz val="14"/>
      <name val="Bookman Old Style"/>
      <family val="1"/>
    </font>
    <font>
      <sz val="14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Calibri"/>
      <family val="2"/>
    </font>
    <font>
      <i/>
      <sz val="14"/>
      <name val="Bookman Old Style"/>
      <family val="1"/>
    </font>
    <font>
      <sz val="9"/>
      <color theme="1"/>
      <name val="Arial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Times New Roman"/>
      <family val="1"/>
    </font>
    <font>
      <b/>
      <sz val="16"/>
      <color rgb="FF172B4D"/>
      <name val="Times New Roman"/>
      <family val="1"/>
    </font>
    <font>
      <b/>
      <sz val="11"/>
      <color rgb="FF172B4D"/>
      <name val="Calibri"/>
      <family val="2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20"/>
      <name val="Times New Roman"/>
      <family val="1"/>
    </font>
    <font>
      <b/>
      <sz val="20"/>
      <color rgb="FF000000"/>
      <name val="Times New Roman"/>
      <family val="1"/>
    </font>
    <font>
      <b/>
      <sz val="20"/>
      <color rgb="FF000000"/>
      <name val="Calibri"/>
      <family val="2"/>
    </font>
    <font>
      <i/>
      <sz val="16"/>
      <color theme="1"/>
      <name val="Calibri"/>
      <family val="2"/>
    </font>
    <font>
      <b/>
      <i/>
      <sz val="16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24"/>
      <name val="Times New Roman"/>
      <family val="1"/>
    </font>
    <font>
      <sz val="11"/>
      <color rgb="FF0061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72B4D"/>
      </patternFill>
    </fill>
    <fill>
      <patternFill patternType="solid">
        <fgColor rgb="FFFFFF00"/>
      </patternFill>
    </fill>
    <fill>
      <patternFill patternType="solid">
        <fgColor rgb="FFE8F0F7"/>
      </patternFill>
    </fill>
    <fill>
      <patternFill patternType="solid">
        <fgColor rgb="FF243D62"/>
      </patternFill>
    </fill>
    <fill>
      <patternFill patternType="solid">
        <fgColor theme="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3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indexed="41"/>
      </patternFill>
    </fill>
    <fill>
      <patternFill patternType="solid">
        <fgColor theme="4" tint="0.79995117038483843"/>
        <bgColor indexed="65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71" fontId="58" fillId="9" borderId="0"/>
    <xf numFmtId="0" fontId="81" fillId="2" borderId="0" applyNumberFormat="0" applyBorder="0" applyAlignment="0" applyProtection="0"/>
  </cellStyleXfs>
  <cellXfs count="492">
    <xf numFmtId="0" fontId="0" fillId="0" borderId="0" xfId="0"/>
    <xf numFmtId="0" fontId="1" fillId="5" borderId="0" xfId="0" applyFont="1" applyFill="1"/>
    <xf numFmtId="0" fontId="2" fillId="5" borderId="0" xfId="0" applyFont="1" applyFill="1"/>
    <xf numFmtId="164" fontId="2" fillId="5" borderId="0" xfId="2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5" fillId="6" borderId="0" xfId="0" applyFont="1" applyFill="1"/>
    <xf numFmtId="0" fontId="6" fillId="0" borderId="0" xfId="0" applyFont="1"/>
    <xf numFmtId="164" fontId="6" fillId="0" borderId="0" xfId="2" applyNumberFormat="1" applyFont="1" applyAlignment="1">
      <alignment horizontal="center"/>
    </xf>
    <xf numFmtId="0" fontId="7" fillId="7" borderId="1" xfId="0" applyFont="1" applyFill="1" applyBorder="1"/>
    <xf numFmtId="0" fontId="7" fillId="7" borderId="0" xfId="0" applyFont="1" applyFill="1"/>
    <xf numFmtId="165" fontId="7" fillId="7" borderId="0" xfId="0" applyNumberFormat="1" applyFont="1" applyFill="1"/>
    <xf numFmtId="164" fontId="7" fillId="7" borderId="0" xfId="2" applyNumberFormat="1" applyFont="1" applyFill="1" applyAlignment="1">
      <alignment horizontal="center"/>
    </xf>
    <xf numFmtId="0" fontId="5" fillId="6" borderId="2" xfId="0" applyFont="1" applyFill="1" applyBorder="1"/>
    <xf numFmtId="0" fontId="5" fillId="0" borderId="0" xfId="0" applyFont="1" applyAlignment="1">
      <alignment horizontal="left" wrapText="1"/>
    </xf>
    <xf numFmtId="164" fontId="5" fillId="0" borderId="0" xfId="2" applyNumberFormat="1" applyFont="1" applyAlignment="1">
      <alignment horizontal="center" wrapText="1"/>
    </xf>
    <xf numFmtId="0" fontId="8" fillId="6" borderId="3" xfId="0" applyFont="1" applyFill="1" applyBorder="1" applyAlignment="1">
      <alignment horizontal="left" wrapText="1"/>
    </xf>
    <xf numFmtId="0" fontId="9" fillId="8" borderId="4" xfId="0" applyFont="1" applyFill="1" applyBorder="1" applyAlignment="1">
      <alignment horizontal="center" wrapText="1"/>
    </xf>
    <xf numFmtId="3" fontId="9" fillId="8" borderId="5" xfId="0" applyNumberFormat="1" applyFont="1" applyFill="1" applyBorder="1" applyAlignment="1">
      <alignment horizontal="center" wrapText="1"/>
    </xf>
    <xf numFmtId="164" fontId="9" fillId="8" borderId="5" xfId="2" applyNumberFormat="1" applyFont="1" applyFill="1" applyBorder="1" applyAlignment="1">
      <alignment horizontal="center" wrapText="1"/>
    </xf>
    <xf numFmtId="0" fontId="4" fillId="6" borderId="0" xfId="0" applyFont="1" applyFill="1"/>
    <xf numFmtId="0" fontId="10" fillId="0" borderId="6" xfId="0" applyFont="1" applyBorder="1"/>
    <xf numFmtId="166" fontId="10" fillId="0" borderId="7" xfId="0" applyNumberFormat="1" applyFont="1" applyBorder="1" applyAlignment="1">
      <alignment wrapText="1"/>
    </xf>
    <xf numFmtId="164" fontId="10" fillId="0" borderId="7" xfId="2" applyNumberFormat="1" applyFont="1" applyBorder="1" applyAlignment="1">
      <alignment horizontal="center" wrapText="1"/>
    </xf>
    <xf numFmtId="0" fontId="4" fillId="9" borderId="0" xfId="0" applyFont="1" applyFill="1"/>
    <xf numFmtId="0" fontId="11" fillId="6" borderId="3" xfId="0" applyFont="1" applyFill="1" applyBorder="1"/>
    <xf numFmtId="0" fontId="12" fillId="0" borderId="6" xfId="0" applyFont="1" applyBorder="1" applyAlignment="1">
      <alignment wrapText="1"/>
    </xf>
    <xf numFmtId="166" fontId="13" fillId="10" borderId="7" xfId="0" applyNumberFormat="1" applyFont="1" applyFill="1" applyBorder="1" applyAlignment="1">
      <alignment wrapText="1"/>
    </xf>
    <xf numFmtId="166" fontId="13" fillId="11" borderId="7" xfId="0" applyNumberFormat="1" applyFont="1" applyFill="1" applyBorder="1" applyAlignment="1">
      <alignment wrapText="1"/>
    </xf>
    <xf numFmtId="166" fontId="14" fillId="12" borderId="7" xfId="0" applyNumberFormat="1" applyFont="1" applyFill="1" applyBorder="1" applyAlignment="1">
      <alignment wrapText="1"/>
    </xf>
    <xf numFmtId="164" fontId="15" fillId="10" borderId="7" xfId="2" applyNumberFormat="1" applyFont="1" applyFill="1" applyBorder="1" applyAlignment="1">
      <alignment horizontal="center" wrapText="1"/>
    </xf>
    <xf numFmtId="0" fontId="16" fillId="6" borderId="3" xfId="0" applyFont="1" applyFill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166" fontId="13" fillId="12" borderId="7" xfId="0" applyNumberFormat="1" applyFont="1" applyFill="1" applyBorder="1" applyAlignment="1">
      <alignment wrapText="1"/>
    </xf>
    <xf numFmtId="0" fontId="16" fillId="6" borderId="3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left" vertical="top" wrapText="1"/>
    </xf>
    <xf numFmtId="0" fontId="12" fillId="9" borderId="6" xfId="0" applyFont="1" applyFill="1" applyBorder="1" applyAlignment="1">
      <alignment horizontal="left" vertical="top" wrapText="1"/>
    </xf>
    <xf numFmtId="0" fontId="17" fillId="0" borderId="0" xfId="0" applyFont="1"/>
    <xf numFmtId="166" fontId="13" fillId="12" borderId="7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left" vertical="top"/>
    </xf>
    <xf numFmtId="0" fontId="10" fillId="7" borderId="6" xfId="0" applyFont="1" applyFill="1" applyBorder="1" applyAlignment="1">
      <alignment horizontal="left" vertical="top"/>
    </xf>
    <xf numFmtId="166" fontId="19" fillId="7" borderId="7" xfId="0" applyNumberFormat="1" applyFont="1" applyFill="1" applyBorder="1" applyAlignment="1">
      <alignment wrapText="1"/>
    </xf>
    <xf numFmtId="166" fontId="19" fillId="7" borderId="7" xfId="0" applyNumberFormat="1" applyFont="1" applyFill="1" applyBorder="1" applyAlignment="1">
      <alignment horizontal="center" vertical="center"/>
    </xf>
    <xf numFmtId="164" fontId="20" fillId="7" borderId="7" xfId="2" applyNumberFormat="1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left" vertical="top"/>
    </xf>
    <xf numFmtId="2" fontId="12" fillId="0" borderId="6" xfId="0" applyNumberFormat="1" applyFont="1" applyBorder="1" applyAlignment="1">
      <alignment horizontal="left" vertical="top"/>
    </xf>
    <xf numFmtId="166" fontId="19" fillId="11" borderId="7" xfId="0" applyNumberFormat="1" applyFont="1" applyFill="1" applyBorder="1" applyAlignment="1">
      <alignment horizontal="center" vertical="center"/>
    </xf>
    <xf numFmtId="166" fontId="19" fillId="12" borderId="7" xfId="0" applyNumberFormat="1" applyFont="1" applyFill="1" applyBorder="1" applyAlignment="1">
      <alignment horizontal="center" vertical="center"/>
    </xf>
    <xf numFmtId="164" fontId="21" fillId="10" borderId="7" xfId="2" applyNumberFormat="1" applyFont="1" applyFill="1" applyBorder="1" applyAlignment="1">
      <alignment horizontal="center" wrapText="1"/>
    </xf>
    <xf numFmtId="165" fontId="10" fillId="7" borderId="6" xfId="0" applyNumberFormat="1" applyFont="1" applyFill="1" applyBorder="1" applyAlignment="1">
      <alignment horizontal="left" vertical="top" wrapText="1"/>
    </xf>
    <xf numFmtId="165" fontId="10" fillId="0" borderId="6" xfId="0" applyNumberFormat="1" applyFont="1" applyBorder="1" applyAlignment="1">
      <alignment horizontal="left" vertical="top" wrapText="1"/>
    </xf>
    <xf numFmtId="166" fontId="22" fillId="10" borderId="7" xfId="0" applyNumberFormat="1" applyFont="1" applyFill="1" applyBorder="1" applyAlignment="1">
      <alignment wrapText="1"/>
    </xf>
    <xf numFmtId="166" fontId="22" fillId="11" borderId="7" xfId="0" applyNumberFormat="1" applyFont="1" applyFill="1" applyBorder="1" applyAlignment="1">
      <alignment horizontal="center" vertical="center"/>
    </xf>
    <xf numFmtId="166" fontId="23" fillId="12" borderId="7" xfId="0" applyNumberFormat="1" applyFont="1" applyFill="1" applyBorder="1" applyAlignment="1">
      <alignment horizontal="center" vertical="center"/>
    </xf>
    <xf numFmtId="164" fontId="24" fillId="10" borderId="7" xfId="2" applyNumberFormat="1" applyFont="1" applyFill="1" applyBorder="1" applyAlignment="1">
      <alignment horizontal="center" wrapText="1"/>
    </xf>
    <xf numFmtId="165" fontId="12" fillId="0" borderId="6" xfId="0" applyNumberFormat="1" applyFont="1" applyBorder="1" applyAlignment="1">
      <alignment horizontal="left" vertical="top" wrapText="1"/>
    </xf>
    <xf numFmtId="166" fontId="23" fillId="10" borderId="7" xfId="0" applyNumberFormat="1" applyFont="1" applyFill="1" applyBorder="1" applyAlignment="1">
      <alignment wrapText="1"/>
    </xf>
    <xf numFmtId="0" fontId="8" fillId="6" borderId="3" xfId="0" applyFont="1" applyFill="1" applyBorder="1" applyAlignment="1">
      <alignment horizontal="left" vertical="top"/>
    </xf>
    <xf numFmtId="166" fontId="22" fillId="10" borderId="7" xfId="0" applyNumberFormat="1" applyFont="1" applyFill="1" applyBorder="1" applyAlignment="1">
      <alignment horizontal="center" vertical="center"/>
    </xf>
    <xf numFmtId="164" fontId="24" fillId="10" borderId="7" xfId="2" applyNumberFormat="1" applyFont="1" applyFill="1" applyBorder="1" applyAlignment="1">
      <alignment horizontal="center" vertical="center"/>
    </xf>
    <xf numFmtId="0" fontId="25" fillId="0" borderId="0" xfId="0" applyFont="1"/>
    <xf numFmtId="0" fontId="10" fillId="0" borderId="6" xfId="0" applyFont="1" applyBorder="1" applyAlignment="1">
      <alignment horizontal="left" vertical="top"/>
    </xf>
    <xf numFmtId="166" fontId="23" fillId="10" borderId="7" xfId="0" applyNumberFormat="1" applyFont="1" applyFill="1" applyBorder="1" applyAlignment="1">
      <alignment horizontal="center" vertical="center"/>
    </xf>
    <xf numFmtId="166" fontId="23" fillId="11" borderId="7" xfId="0" applyNumberFormat="1" applyFont="1" applyFill="1" applyBorder="1" applyAlignment="1">
      <alignment horizontal="center" vertical="center"/>
    </xf>
    <xf numFmtId="164" fontId="21" fillId="10" borderId="7" xfId="2" applyNumberFormat="1" applyFont="1" applyFill="1" applyBorder="1" applyAlignment="1">
      <alignment horizontal="center" vertical="center"/>
    </xf>
    <xf numFmtId="166" fontId="19" fillId="10" borderId="7" xfId="0" applyNumberFormat="1" applyFont="1" applyFill="1" applyBorder="1" applyAlignment="1">
      <alignment wrapText="1"/>
    </xf>
    <xf numFmtId="166" fontId="19" fillId="11" borderId="7" xfId="0" applyNumberFormat="1" applyFont="1" applyFill="1" applyBorder="1" applyAlignment="1">
      <alignment wrapText="1"/>
    </xf>
    <xf numFmtId="166" fontId="19" fillId="12" borderId="7" xfId="0" applyNumberFormat="1" applyFont="1" applyFill="1" applyBorder="1" applyAlignment="1">
      <alignment wrapText="1"/>
    </xf>
    <xf numFmtId="164" fontId="20" fillId="10" borderId="7" xfId="2" applyNumberFormat="1" applyFont="1" applyFill="1" applyBorder="1" applyAlignment="1">
      <alignment horizontal="center" wrapText="1"/>
    </xf>
    <xf numFmtId="166" fontId="22" fillId="10" borderId="7" xfId="0" applyNumberFormat="1" applyFont="1" applyFill="1" applyBorder="1"/>
    <xf numFmtId="166" fontId="22" fillId="11" borderId="7" xfId="0" applyNumberFormat="1" applyFont="1" applyFill="1" applyBorder="1" applyAlignment="1">
      <alignment vertical="center"/>
    </xf>
    <xf numFmtId="166" fontId="23" fillId="12" borderId="7" xfId="0" applyNumberFormat="1" applyFont="1" applyFill="1" applyBorder="1" applyAlignment="1">
      <alignment wrapText="1"/>
    </xf>
    <xf numFmtId="164" fontId="24" fillId="10" borderId="7" xfId="2" applyNumberFormat="1" applyFont="1" applyFill="1" applyBorder="1" applyAlignment="1">
      <alignment horizontal="center"/>
    </xf>
    <xf numFmtId="166" fontId="23" fillId="11" borderId="7" xfId="0" applyNumberFormat="1" applyFont="1" applyFill="1" applyBorder="1" applyAlignment="1">
      <alignment vertical="center"/>
    </xf>
    <xf numFmtId="166" fontId="13" fillId="12" borderId="7" xfId="0" applyNumberFormat="1" applyFont="1" applyFill="1" applyBorder="1" applyAlignment="1">
      <alignment vertical="center"/>
    </xf>
    <xf numFmtId="166" fontId="13" fillId="12" borderId="7" xfId="0" applyNumberFormat="1" applyFont="1" applyFill="1" applyBorder="1" applyAlignment="1">
      <alignment vertical="center" wrapText="1"/>
    </xf>
    <xf numFmtId="166" fontId="23" fillId="11" borderId="7" xfId="0" applyNumberFormat="1" applyFont="1" applyFill="1" applyBorder="1" applyAlignment="1">
      <alignment wrapText="1"/>
    </xf>
    <xf numFmtId="166" fontId="23" fillId="12" borderId="7" xfId="0" applyNumberFormat="1" applyFont="1" applyFill="1" applyBorder="1" applyAlignment="1">
      <alignment vertical="center" wrapText="1"/>
    </xf>
    <xf numFmtId="166" fontId="13" fillId="12" borderId="7" xfId="0" applyNumberFormat="1" applyFont="1" applyFill="1" applyBorder="1" applyAlignment="1">
      <alignment horizontal="center" vertical="center" wrapText="1"/>
    </xf>
    <xf numFmtId="166" fontId="19" fillId="7" borderId="7" xfId="0" applyNumberFormat="1" applyFont="1" applyFill="1" applyBorder="1" applyAlignment="1">
      <alignment horizontal="center" vertical="center" wrapText="1"/>
    </xf>
    <xf numFmtId="164" fontId="20" fillId="7" borderId="7" xfId="2" applyNumberFormat="1" applyFont="1" applyFill="1" applyBorder="1" applyAlignment="1">
      <alignment horizontal="center" vertical="center" wrapText="1"/>
    </xf>
    <xf numFmtId="166" fontId="23" fillId="12" borderId="7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 wrapText="1"/>
    </xf>
    <xf numFmtId="166" fontId="13" fillId="10" borderId="7" xfId="0" applyNumberFormat="1" applyFont="1" applyFill="1" applyBorder="1"/>
    <xf numFmtId="164" fontId="15" fillId="10" borderId="7" xfId="2" applyNumberFormat="1" applyFont="1" applyFill="1" applyBorder="1" applyAlignment="1">
      <alignment horizontal="center"/>
    </xf>
    <xf numFmtId="3" fontId="12" fillId="0" borderId="6" xfId="1" applyNumberFormat="1" applyFont="1" applyBorder="1" applyAlignment="1">
      <alignment wrapText="1"/>
    </xf>
    <xf numFmtId="0" fontId="8" fillId="0" borderId="6" xfId="0" applyFont="1" applyBorder="1" applyAlignment="1">
      <alignment horizontal="left" vertical="top"/>
    </xf>
    <xf numFmtId="0" fontId="16" fillId="6" borderId="3" xfId="0" applyFont="1" applyFill="1" applyBorder="1" applyAlignment="1">
      <alignment horizontal="left" vertical="top" wrapText="1"/>
    </xf>
    <xf numFmtId="166" fontId="19" fillId="10" borderId="7" xfId="0" applyNumberFormat="1" applyFont="1" applyFill="1" applyBorder="1" applyAlignment="1">
      <alignment horizontal="center" vertical="center" wrapText="1"/>
    </xf>
    <xf numFmtId="166" fontId="19" fillId="12" borderId="7" xfId="0" applyNumberFormat="1" applyFont="1" applyFill="1" applyBorder="1" applyAlignment="1">
      <alignment horizontal="center" vertical="center" wrapText="1"/>
    </xf>
    <xf numFmtId="164" fontId="20" fillId="10" borderId="7" xfId="2" applyNumberFormat="1" applyFont="1" applyFill="1" applyBorder="1" applyAlignment="1">
      <alignment horizontal="center" vertical="center" wrapText="1"/>
    </xf>
    <xf numFmtId="166" fontId="23" fillId="10" borderId="7" xfId="0" applyNumberFormat="1" applyFont="1" applyFill="1" applyBorder="1" applyAlignment="1">
      <alignment horizontal="center" vertical="center" wrapText="1"/>
    </xf>
    <xf numFmtId="164" fontId="21" fillId="10" borderId="7" xfId="2" applyNumberFormat="1" applyFont="1" applyFill="1" applyBorder="1" applyAlignment="1">
      <alignment horizontal="center" vertical="center" wrapText="1"/>
    </xf>
    <xf numFmtId="166" fontId="13" fillId="10" borderId="7" xfId="0" applyNumberFormat="1" applyFont="1" applyFill="1" applyBorder="1" applyAlignment="1">
      <alignment horizontal="center" vertical="center" wrapText="1"/>
    </xf>
    <xf numFmtId="164" fontId="15" fillId="10" borderId="7" xfId="2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top" wrapText="1"/>
    </xf>
    <xf numFmtId="0" fontId="18" fillId="6" borderId="0" xfId="0" applyFont="1" applyFill="1" applyAlignment="1">
      <alignment horizontal="left" vertical="top"/>
    </xf>
    <xf numFmtId="166" fontId="22" fillId="10" borderId="7" xfId="0" applyNumberFormat="1" applyFont="1" applyFill="1" applyBorder="1" applyAlignment="1">
      <alignment horizontal="center" vertical="center" wrapText="1"/>
    </xf>
    <xf numFmtId="166" fontId="22" fillId="11" borderId="7" xfId="0" applyNumberFormat="1" applyFont="1" applyFill="1" applyBorder="1" applyAlignment="1">
      <alignment horizontal="center" vertical="center" wrapText="1"/>
    </xf>
    <xf numFmtId="164" fontId="24" fillId="10" borderId="7" xfId="2" applyNumberFormat="1" applyFont="1" applyFill="1" applyBorder="1" applyAlignment="1">
      <alignment horizontal="center" vertical="center" wrapText="1"/>
    </xf>
    <xf numFmtId="166" fontId="19" fillId="11" borderId="7" xfId="0" applyNumberFormat="1" applyFont="1" applyFill="1" applyBorder="1" applyAlignment="1">
      <alignment horizontal="center" vertical="center" wrapText="1"/>
    </xf>
    <xf numFmtId="166" fontId="23" fillId="11" borderId="7" xfId="0" applyNumberFormat="1" applyFont="1" applyFill="1" applyBorder="1" applyAlignment="1">
      <alignment horizontal="center" vertical="center" wrapText="1"/>
    </xf>
    <xf numFmtId="166" fontId="13" fillId="10" borderId="0" xfId="0" applyNumberFormat="1" applyFont="1" applyFill="1" applyAlignment="1">
      <alignment wrapText="1"/>
    </xf>
    <xf numFmtId="164" fontId="15" fillId="10" borderId="0" xfId="2" applyNumberFormat="1" applyFont="1" applyFill="1" applyAlignment="1">
      <alignment horizontal="center" wrapText="1"/>
    </xf>
    <xf numFmtId="166" fontId="13" fillId="10" borderId="7" xfId="0" applyNumberFormat="1" applyFont="1" applyFill="1" applyBorder="1" applyAlignment="1">
      <alignment horizontal="center" vertical="center"/>
    </xf>
    <xf numFmtId="166" fontId="13" fillId="11" borderId="7" xfId="0" applyNumberFormat="1" applyFont="1" applyFill="1" applyBorder="1" applyAlignment="1">
      <alignment horizontal="center" vertical="center"/>
    </xf>
    <xf numFmtId="164" fontId="15" fillId="10" borderId="7" xfId="2" applyNumberFormat="1" applyFont="1" applyFill="1" applyBorder="1" applyAlignment="1">
      <alignment horizontal="center" vertical="center"/>
    </xf>
    <xf numFmtId="166" fontId="22" fillId="7" borderId="7" xfId="0" applyNumberFormat="1" applyFont="1" applyFill="1" applyBorder="1" applyAlignment="1">
      <alignment horizontal="center" vertical="center"/>
    </xf>
    <xf numFmtId="166" fontId="22" fillId="7" borderId="7" xfId="0" applyNumberFormat="1" applyFont="1" applyFill="1" applyBorder="1" applyAlignment="1">
      <alignment wrapText="1"/>
    </xf>
    <xf numFmtId="166" fontId="22" fillId="7" borderId="7" xfId="0" applyNumberFormat="1" applyFont="1" applyFill="1" applyBorder="1" applyAlignment="1">
      <alignment horizontal="center" vertical="center" wrapText="1"/>
    </xf>
    <xf numFmtId="164" fontId="24" fillId="7" borderId="7" xfId="2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left" vertical="top" wrapText="1"/>
    </xf>
    <xf numFmtId="9" fontId="12" fillId="0" borderId="6" xfId="2" applyFont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center"/>
    </xf>
    <xf numFmtId="164" fontId="24" fillId="7" borderId="7" xfId="2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1" fillId="6" borderId="3" xfId="0" applyFont="1" applyFill="1" applyBorder="1" applyAlignment="1">
      <alignment horizontal="left"/>
    </xf>
    <xf numFmtId="166" fontId="13" fillId="11" borderId="7" xfId="0" applyNumberFormat="1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left"/>
    </xf>
    <xf numFmtId="0" fontId="18" fillId="6" borderId="2" xfId="0" applyFont="1" applyFill="1" applyBorder="1" applyAlignment="1">
      <alignment horizontal="left"/>
    </xf>
    <xf numFmtId="165" fontId="10" fillId="0" borderId="9" xfId="0" applyNumberFormat="1" applyFont="1" applyBorder="1" applyAlignment="1">
      <alignment horizontal="left" vertical="top" wrapText="1"/>
    </xf>
    <xf numFmtId="166" fontId="22" fillId="10" borderId="10" xfId="0" applyNumberFormat="1" applyFont="1" applyFill="1" applyBorder="1" applyAlignment="1">
      <alignment horizontal="center" vertical="center" wrapText="1"/>
    </xf>
    <xf numFmtId="164" fontId="24" fillId="10" borderId="10" xfId="2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wrapText="1"/>
    </xf>
    <xf numFmtId="166" fontId="19" fillId="10" borderId="10" xfId="0" applyNumberFormat="1" applyFont="1" applyFill="1" applyBorder="1" applyAlignment="1">
      <alignment horizontal="center" vertical="center" wrapText="1"/>
    </xf>
    <xf numFmtId="164" fontId="20" fillId="10" borderId="10" xfId="2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wrapText="1"/>
    </xf>
    <xf numFmtId="0" fontId="10" fillId="7" borderId="12" xfId="0" applyFont="1" applyFill="1" applyBorder="1" applyAlignment="1">
      <alignment wrapText="1"/>
    </xf>
    <xf numFmtId="166" fontId="26" fillId="7" borderId="13" xfId="0" applyNumberFormat="1" applyFont="1" applyFill="1" applyBorder="1" applyAlignment="1">
      <alignment vertical="center" wrapText="1"/>
    </xf>
    <xf numFmtId="164" fontId="27" fillId="7" borderId="13" xfId="2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/>
    </xf>
    <xf numFmtId="0" fontId="6" fillId="0" borderId="0" xfId="0" applyFont="1" applyAlignment="1">
      <alignment wrapText="1"/>
    </xf>
    <xf numFmtId="166" fontId="6" fillId="10" borderId="0" xfId="0" applyNumberFormat="1" applyFont="1" applyFill="1" applyAlignment="1">
      <alignment wrapText="1"/>
    </xf>
    <xf numFmtId="166" fontId="6" fillId="0" borderId="0" xfId="0" applyNumberFormat="1" applyFont="1" applyAlignment="1">
      <alignment wrapText="1"/>
    </xf>
    <xf numFmtId="166" fontId="6" fillId="13" borderId="0" xfId="0" applyNumberFormat="1" applyFont="1" applyFill="1" applyAlignment="1">
      <alignment wrapText="1"/>
    </xf>
    <xf numFmtId="164" fontId="28" fillId="10" borderId="0" xfId="2" applyNumberFormat="1" applyFont="1" applyFill="1" applyAlignment="1">
      <alignment horizontal="center" wrapText="1"/>
    </xf>
    <xf numFmtId="0" fontId="16" fillId="6" borderId="7" xfId="0" applyFont="1" applyFill="1" applyBorder="1" applyAlignment="1">
      <alignment horizontal="left" vertical="top"/>
    </xf>
    <xf numFmtId="0" fontId="12" fillId="9" borderId="7" xfId="0" applyFont="1" applyFill="1" applyBorder="1" applyAlignment="1">
      <alignment horizontal="left" vertical="top" wrapText="1"/>
    </xf>
    <xf numFmtId="166" fontId="13" fillId="9" borderId="7" xfId="0" applyNumberFormat="1" applyFont="1" applyFill="1" applyBorder="1" applyAlignment="1">
      <alignment horizontal="center" vertical="center" wrapText="1"/>
    </xf>
    <xf numFmtId="166" fontId="13" fillId="6" borderId="7" xfId="0" applyNumberFormat="1" applyFont="1" applyFill="1" applyBorder="1" applyAlignment="1">
      <alignment wrapText="1"/>
    </xf>
    <xf numFmtId="164" fontId="15" fillId="9" borderId="7" xfId="2" applyNumberFormat="1" applyFont="1" applyFill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0" fontId="6" fillId="6" borderId="0" xfId="0" applyFont="1" applyFill="1" applyAlignment="1">
      <alignment horizontal="left"/>
    </xf>
    <xf numFmtId="0" fontId="5" fillId="9" borderId="0" xfId="0" applyFont="1" applyFill="1" applyAlignment="1">
      <alignment wrapText="1"/>
    </xf>
    <xf numFmtId="166" fontId="5" fillId="9" borderId="0" xfId="0" applyNumberFormat="1" applyFont="1" applyFill="1" applyAlignment="1">
      <alignment wrapText="1"/>
    </xf>
    <xf numFmtId="166" fontId="6" fillId="9" borderId="0" xfId="0" applyNumberFormat="1" applyFont="1" applyFill="1" applyAlignment="1">
      <alignment wrapText="1"/>
    </xf>
    <xf numFmtId="164" fontId="6" fillId="9" borderId="0" xfId="2" applyNumberFormat="1" applyFont="1" applyFill="1" applyAlignment="1">
      <alignment horizontal="center" wrapText="1"/>
    </xf>
    <xf numFmtId="166" fontId="22" fillId="0" borderId="10" xfId="0" applyNumberFormat="1" applyFont="1" applyBorder="1" applyAlignment="1">
      <alignment horizontal="center" vertical="center" wrapText="1"/>
    </xf>
    <xf numFmtId="166" fontId="13" fillId="14" borderId="7" xfId="0" applyNumberFormat="1" applyFont="1" applyFill="1" applyBorder="1" applyAlignment="1">
      <alignment horizontal="center" vertical="center" wrapText="1"/>
    </xf>
    <xf numFmtId="0" fontId="6" fillId="9" borderId="0" xfId="0" applyFont="1" applyFill="1" applyAlignment="1">
      <alignment wrapText="1"/>
    </xf>
    <xf numFmtId="166" fontId="0" fillId="0" borderId="0" xfId="0" applyNumberFormat="1"/>
    <xf numFmtId="0" fontId="6" fillId="6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wrapText="1"/>
    </xf>
    <xf numFmtId="166" fontId="6" fillId="9" borderId="1" xfId="0" applyNumberFormat="1" applyFont="1" applyFill="1" applyBorder="1" applyAlignment="1">
      <alignment wrapText="1"/>
    </xf>
    <xf numFmtId="166" fontId="29" fillId="9" borderId="0" xfId="0" applyNumberFormat="1" applyFont="1" applyFill="1" applyAlignment="1">
      <alignment wrapText="1"/>
    </xf>
    <xf numFmtId="166" fontId="29" fillId="9" borderId="1" xfId="0" applyNumberFormat="1" applyFont="1" applyFill="1" applyBorder="1" applyAlignment="1">
      <alignment wrapText="1"/>
    </xf>
    <xf numFmtId="164" fontId="6" fillId="9" borderId="1" xfId="2" applyNumberFormat="1" applyFont="1" applyFill="1" applyBorder="1" applyAlignment="1">
      <alignment horizontal="center" wrapText="1"/>
    </xf>
    <xf numFmtId="166" fontId="29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0" fontId="6" fillId="0" borderId="0" xfId="2" applyNumberFormat="1" applyFont="1" applyFill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10" fontId="6" fillId="0" borderId="0" xfId="0" applyNumberFormat="1" applyFont="1" applyAlignment="1">
      <alignment wrapText="1"/>
    </xf>
    <xf numFmtId="9" fontId="6" fillId="0" borderId="0" xfId="2" applyFont="1" applyFill="1" applyAlignment="1">
      <alignment wrapText="1"/>
    </xf>
    <xf numFmtId="164" fontId="6" fillId="0" borderId="0" xfId="2" applyNumberFormat="1" applyFont="1" applyFill="1" applyAlignment="1">
      <alignment horizontal="center" wrapText="1"/>
    </xf>
    <xf numFmtId="0" fontId="6" fillId="6" borderId="0" xfId="0" applyFont="1" applyFill="1"/>
    <xf numFmtId="2" fontId="6" fillId="0" borderId="0" xfId="0" applyNumberFormat="1" applyFont="1" applyAlignment="1">
      <alignment wrapText="1"/>
    </xf>
    <xf numFmtId="9" fontId="6" fillId="0" borderId="0" xfId="0" applyNumberFormat="1" applyFont="1" applyAlignment="1">
      <alignment wrapText="1"/>
    </xf>
    <xf numFmtId="167" fontId="4" fillId="0" borderId="0" xfId="0" applyNumberFormat="1" applyFont="1" applyAlignment="1">
      <alignment wrapText="1"/>
    </xf>
    <xf numFmtId="164" fontId="4" fillId="0" borderId="0" xfId="2" applyNumberFormat="1" applyFont="1" applyAlignment="1">
      <alignment horizontal="center" wrapText="1"/>
    </xf>
    <xf numFmtId="43" fontId="4" fillId="0" borderId="0" xfId="1" applyFont="1" applyAlignment="1">
      <alignment wrapText="1"/>
    </xf>
    <xf numFmtId="0" fontId="30" fillId="0" borderId="0" xfId="0" applyFont="1"/>
    <xf numFmtId="0" fontId="31" fillId="0" borderId="0" xfId="0" applyFont="1"/>
    <xf numFmtId="9" fontId="32" fillId="0" borderId="4" xfId="0" applyNumberFormat="1" applyFont="1" applyBorder="1" applyAlignment="1">
      <alignment horizontal="center" wrapText="1"/>
    </xf>
    <xf numFmtId="9" fontId="32" fillId="0" borderId="5" xfId="0" applyNumberFormat="1" applyFont="1" applyBorder="1" applyAlignment="1">
      <alignment horizontal="center" wrapText="1"/>
    </xf>
    <xf numFmtId="9" fontId="32" fillId="0" borderId="14" xfId="0" applyNumberFormat="1" applyFont="1" applyBorder="1" applyAlignment="1">
      <alignment horizontal="center" wrapText="1"/>
    </xf>
    <xf numFmtId="9" fontId="33" fillId="8" borderId="15" xfId="0" applyNumberFormat="1" applyFont="1" applyFill="1" applyBorder="1" applyAlignment="1">
      <alignment horizontal="center" wrapText="1"/>
    </xf>
    <xf numFmtId="167" fontId="33" fillId="8" borderId="15" xfId="0" applyNumberFormat="1" applyFont="1" applyFill="1" applyBorder="1" applyAlignment="1">
      <alignment horizontal="left" wrapText="1"/>
    </xf>
    <xf numFmtId="167" fontId="33" fillId="8" borderId="15" xfId="0" applyNumberFormat="1" applyFont="1" applyFill="1" applyBorder="1" applyAlignment="1">
      <alignment horizontal="center" wrapText="1"/>
    </xf>
    <xf numFmtId="0" fontId="33" fillId="8" borderId="15" xfId="0" applyFont="1" applyFill="1" applyBorder="1" applyAlignment="1">
      <alignment horizontal="center" wrapText="1"/>
    </xf>
    <xf numFmtId="0" fontId="33" fillId="8" borderId="16" xfId="0" applyFont="1" applyFill="1" applyBorder="1" applyAlignment="1">
      <alignment wrapText="1"/>
    </xf>
    <xf numFmtId="0" fontId="33" fillId="8" borderId="17" xfId="0" applyFont="1" applyFill="1" applyBorder="1" applyAlignment="1">
      <alignment horizontal="center" wrapText="1"/>
    </xf>
    <xf numFmtId="0" fontId="33" fillId="8" borderId="16" xfId="0" applyFont="1" applyFill="1" applyBorder="1" applyAlignment="1">
      <alignment horizontal="center" wrapText="1"/>
    </xf>
    <xf numFmtId="0" fontId="33" fillId="8" borderId="18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0" fontId="34" fillId="8" borderId="0" xfId="0" applyFont="1" applyFill="1" applyAlignment="1">
      <alignment wrapText="1"/>
    </xf>
    <xf numFmtId="0" fontId="30" fillId="0" borderId="15" xfId="0" applyFont="1" applyBorder="1" applyAlignment="1">
      <alignment horizontal="left" wrapText="1"/>
    </xf>
    <xf numFmtId="3" fontId="35" fillId="0" borderId="15" xfId="1" applyNumberFormat="1" applyFont="1" applyBorder="1" applyAlignment="1">
      <alignment wrapText="1"/>
    </xf>
    <xf numFmtId="3" fontId="35" fillId="0" borderId="17" xfId="1" applyNumberFormat="1" applyFont="1" applyBorder="1" applyAlignment="1">
      <alignment wrapText="1"/>
    </xf>
    <xf numFmtId="3" fontId="35" fillId="0" borderId="15" xfId="0" applyNumberFormat="1" applyFont="1" applyBorder="1" applyAlignment="1">
      <alignment horizontal="center" vertical="center"/>
    </xf>
    <xf numFmtId="3" fontId="35" fillId="9" borderId="18" xfId="0" applyNumberFormat="1" applyFont="1" applyFill="1" applyBorder="1" applyAlignment="1">
      <alignment wrapText="1"/>
    </xf>
    <xf numFmtId="9" fontId="35" fillId="0" borderId="18" xfId="2" applyFont="1" applyBorder="1" applyAlignment="1">
      <alignment horizontal="center" wrapText="1"/>
    </xf>
    <xf numFmtId="9" fontId="35" fillId="0" borderId="19" xfId="2" applyFont="1" applyBorder="1" applyAlignment="1">
      <alignment horizontal="center" wrapText="1"/>
    </xf>
    <xf numFmtId="3" fontId="35" fillId="0" borderId="20" xfId="0" applyNumberFormat="1" applyFont="1" applyBorder="1" applyAlignment="1">
      <alignment horizontal="center" vertical="center"/>
    </xf>
    <xf numFmtId="3" fontId="35" fillId="9" borderId="20" xfId="0" applyNumberFormat="1" applyFont="1" applyFill="1" applyBorder="1" applyAlignment="1">
      <alignment horizontal="right" vertical="center"/>
    </xf>
    <xf numFmtId="3" fontId="35" fillId="0" borderId="20" xfId="0" applyNumberFormat="1" applyFont="1" applyBorder="1" applyAlignment="1">
      <alignment horizontal="right" vertical="center"/>
    </xf>
    <xf numFmtId="165" fontId="35" fillId="0" borderId="18" xfId="1" applyNumberFormat="1" applyFont="1" applyFill="1" applyBorder="1" applyAlignment="1">
      <alignment wrapText="1"/>
    </xf>
    <xf numFmtId="9" fontId="31" fillId="0" borderId="0" xfId="2" applyFont="1" applyFill="1" applyBorder="1" applyAlignment="1">
      <alignment wrapText="1"/>
    </xf>
    <xf numFmtId="9" fontId="32" fillId="0" borderId="15" xfId="0" applyNumberFormat="1" applyFont="1" applyBorder="1" applyAlignment="1">
      <alignment horizontal="left" wrapText="1"/>
    </xf>
    <xf numFmtId="3" fontId="35" fillId="0" borderId="21" xfId="0" applyNumberFormat="1" applyFont="1" applyBorder="1" applyAlignment="1">
      <alignment horizontal="center" vertical="center"/>
    </xf>
    <xf numFmtId="9" fontId="35" fillId="0" borderId="22" xfId="2" applyFont="1" applyBorder="1" applyAlignment="1">
      <alignment horizontal="center" wrapText="1"/>
    </xf>
    <xf numFmtId="165" fontId="35" fillId="0" borderId="15" xfId="1" applyNumberFormat="1" applyFont="1" applyFill="1" applyBorder="1" applyAlignment="1">
      <alignment wrapText="1"/>
    </xf>
    <xf numFmtId="9" fontId="35" fillId="0" borderId="23" xfId="2" applyFont="1" applyBorder="1" applyAlignment="1">
      <alignment horizontal="center" wrapText="1"/>
    </xf>
    <xf numFmtId="165" fontId="35" fillId="0" borderId="24" xfId="1" applyNumberFormat="1" applyFont="1" applyFill="1" applyBorder="1" applyAlignment="1">
      <alignment wrapText="1"/>
    </xf>
    <xf numFmtId="9" fontId="35" fillId="0" borderId="25" xfId="2" applyFont="1" applyBorder="1" applyAlignment="1">
      <alignment horizontal="center" wrapText="1"/>
    </xf>
    <xf numFmtId="164" fontId="31" fillId="0" borderId="0" xfId="2" applyNumberFormat="1" applyFont="1" applyFill="1" applyBorder="1" applyAlignment="1">
      <alignment wrapText="1"/>
    </xf>
    <xf numFmtId="9" fontId="32" fillId="0" borderId="17" xfId="0" applyNumberFormat="1" applyFont="1" applyBorder="1" applyAlignment="1">
      <alignment horizontal="left" wrapText="1"/>
    </xf>
    <xf numFmtId="3" fontId="31" fillId="9" borderId="20" xfId="0" applyNumberFormat="1" applyFont="1" applyFill="1" applyBorder="1" applyAlignment="1">
      <alignment horizontal="right" vertical="center"/>
    </xf>
    <xf numFmtId="9" fontId="32" fillId="0" borderId="26" xfId="0" applyNumberFormat="1" applyFont="1" applyBorder="1" applyAlignment="1">
      <alignment horizontal="left" wrapText="1"/>
    </xf>
    <xf numFmtId="9" fontId="32" fillId="0" borderId="27" xfId="0" applyNumberFormat="1" applyFont="1" applyBorder="1" applyAlignment="1">
      <alignment horizontal="left" wrapText="1"/>
    </xf>
    <xf numFmtId="3" fontId="31" fillId="0" borderId="18" xfId="1" applyNumberFormat="1" applyFont="1" applyBorder="1" applyAlignment="1">
      <alignment wrapText="1"/>
    </xf>
    <xf numFmtId="3" fontId="31" fillId="0" borderId="28" xfId="1" applyNumberFormat="1" applyFont="1" applyBorder="1" applyAlignment="1">
      <alignment wrapText="1"/>
    </xf>
    <xf numFmtId="3" fontId="35" fillId="0" borderId="24" xfId="0" applyNumberFormat="1" applyFont="1" applyBorder="1" applyAlignment="1">
      <alignment horizontal="center" vertical="center"/>
    </xf>
    <xf numFmtId="3" fontId="31" fillId="9" borderId="18" xfId="0" applyNumberFormat="1" applyFont="1" applyFill="1" applyBorder="1" applyAlignment="1">
      <alignment wrapText="1"/>
    </xf>
    <xf numFmtId="9" fontId="35" fillId="0" borderId="0" xfId="2" applyFont="1" applyBorder="1" applyAlignment="1">
      <alignment horizontal="center" wrapText="1"/>
    </xf>
    <xf numFmtId="3" fontId="31" fillId="0" borderId="20" xfId="0" applyNumberFormat="1" applyFont="1" applyBorder="1" applyAlignment="1">
      <alignment horizontal="right" vertical="center"/>
    </xf>
    <xf numFmtId="165" fontId="36" fillId="0" borderId="24" xfId="1" applyNumberFormat="1" applyFont="1" applyFill="1" applyBorder="1" applyAlignment="1">
      <alignment wrapText="1"/>
    </xf>
    <xf numFmtId="9" fontId="32" fillId="6" borderId="15" xfId="0" applyNumberFormat="1" applyFont="1" applyFill="1" applyBorder="1" applyAlignment="1">
      <alignment horizontal="left" wrapText="1"/>
    </xf>
    <xf numFmtId="3" fontId="37" fillId="6" borderId="15" xfId="1" applyNumberFormat="1" applyFont="1" applyFill="1" applyBorder="1" applyAlignment="1">
      <alignment wrapText="1"/>
    </xf>
    <xf numFmtId="3" fontId="37" fillId="6" borderId="16" xfId="0" applyNumberFormat="1" applyFont="1" applyFill="1" applyBorder="1" applyAlignment="1">
      <alignment horizontal="center" vertical="center"/>
    </xf>
    <xf numFmtId="3" fontId="37" fillId="6" borderId="29" xfId="0" applyNumberFormat="1" applyFont="1" applyFill="1" applyBorder="1" applyAlignment="1">
      <alignment wrapText="1"/>
    </xf>
    <xf numFmtId="9" fontId="37" fillId="6" borderId="15" xfId="2" applyFont="1" applyFill="1" applyBorder="1" applyAlignment="1">
      <alignment horizontal="center" wrapText="1"/>
    </xf>
    <xf numFmtId="9" fontId="37" fillId="6" borderId="17" xfId="2" applyFont="1" applyFill="1" applyBorder="1" applyAlignment="1">
      <alignment horizontal="center" wrapText="1"/>
    </xf>
    <xf numFmtId="3" fontId="37" fillId="6" borderId="21" xfId="0" applyNumberFormat="1" applyFont="1" applyFill="1" applyBorder="1" applyAlignment="1">
      <alignment horizontal="center" vertical="center"/>
    </xf>
    <xf numFmtId="3" fontId="37" fillId="6" borderId="20" xfId="0" applyNumberFormat="1" applyFont="1" applyFill="1" applyBorder="1" applyAlignment="1">
      <alignment horizontal="center" vertical="center"/>
    </xf>
    <xf numFmtId="3" fontId="37" fillId="6" borderId="20" xfId="0" applyNumberFormat="1" applyFont="1" applyFill="1" applyBorder="1" applyAlignment="1">
      <alignment horizontal="right" vertical="center"/>
    </xf>
    <xf numFmtId="165" fontId="37" fillId="6" borderId="30" xfId="1" applyNumberFormat="1" applyFont="1" applyFill="1" applyBorder="1" applyAlignment="1">
      <alignment wrapText="1"/>
    </xf>
    <xf numFmtId="9" fontId="30" fillId="0" borderId="0" xfId="2" applyFont="1" applyFill="1" applyBorder="1" applyAlignment="1">
      <alignment wrapText="1"/>
    </xf>
    <xf numFmtId="3" fontId="35" fillId="0" borderId="21" xfId="1" applyNumberFormat="1" applyFont="1" applyBorder="1" applyAlignment="1">
      <alignment wrapText="1"/>
    </xf>
    <xf numFmtId="3" fontId="35" fillId="0" borderId="26" xfId="1" applyNumberFormat="1" applyFont="1" applyBorder="1" applyAlignment="1">
      <alignment wrapText="1"/>
    </xf>
    <xf numFmtId="3" fontId="35" fillId="9" borderId="26" xfId="1" applyNumberFormat="1" applyFont="1" applyFill="1" applyBorder="1" applyAlignment="1">
      <alignment wrapText="1"/>
    </xf>
    <xf numFmtId="9" fontId="35" fillId="0" borderId="21" xfId="2" applyFont="1" applyBorder="1" applyAlignment="1">
      <alignment horizontal="center" wrapText="1"/>
    </xf>
    <xf numFmtId="165" fontId="35" fillId="0" borderId="21" xfId="0" applyNumberFormat="1" applyFont="1" applyBorder="1" applyAlignment="1">
      <alignment wrapText="1"/>
    </xf>
    <xf numFmtId="0" fontId="35" fillId="9" borderId="0" xfId="0" applyFont="1" applyFill="1"/>
    <xf numFmtId="3" fontId="35" fillId="9" borderId="0" xfId="0" applyNumberFormat="1" applyFont="1" applyFill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43" fontId="35" fillId="6" borderId="0" xfId="0" applyNumberFormat="1" applyFont="1" applyFill="1"/>
    <xf numFmtId="165" fontId="35" fillId="6" borderId="0" xfId="0" applyNumberFormat="1" applyFont="1" applyFill="1"/>
    <xf numFmtId="165" fontId="35" fillId="6" borderId="0" xfId="1" applyNumberFormat="1" applyFont="1" applyFill="1"/>
    <xf numFmtId="4" fontId="37" fillId="9" borderId="0" xfId="0" applyNumberFormat="1" applyFont="1" applyFill="1" applyAlignment="1">
      <alignment horizontal="justify" vertical="center"/>
    </xf>
    <xf numFmtId="168" fontId="31" fillId="0" borderId="0" xfId="0" applyNumberFormat="1" applyFont="1"/>
    <xf numFmtId="3" fontId="31" fillId="0" borderId="0" xfId="0" applyNumberFormat="1" applyFont="1"/>
    <xf numFmtId="43" fontId="31" fillId="0" borderId="0" xfId="1" applyFont="1"/>
    <xf numFmtId="43" fontId="31" fillId="6" borderId="0" xfId="0" applyNumberFormat="1" applyFont="1" applyFill="1"/>
    <xf numFmtId="165" fontId="31" fillId="6" borderId="0" xfId="0" applyNumberFormat="1" applyFont="1" applyFill="1"/>
    <xf numFmtId="165" fontId="31" fillId="6" borderId="0" xfId="1" applyNumberFormat="1" applyFont="1" applyFill="1"/>
    <xf numFmtId="0" fontId="38" fillId="9" borderId="0" xfId="0" applyFont="1" applyFill="1"/>
    <xf numFmtId="43" fontId="38" fillId="9" borderId="0" xfId="0" applyNumberFormat="1" applyFont="1" applyFill="1"/>
    <xf numFmtId="165" fontId="38" fillId="9" borderId="0" xfId="0" applyNumberFormat="1" applyFont="1" applyFill="1"/>
    <xf numFmtId="165" fontId="38" fillId="9" borderId="0" xfId="1" applyNumberFormat="1" applyFont="1" applyFill="1"/>
    <xf numFmtId="0" fontId="30" fillId="6" borderId="0" xfId="0" applyFont="1" applyFill="1"/>
    <xf numFmtId="0" fontId="31" fillId="9" borderId="0" xfId="0" applyFont="1" applyFill="1"/>
    <xf numFmtId="0" fontId="30" fillId="9" borderId="0" xfId="0" applyFont="1" applyFill="1"/>
    <xf numFmtId="17" fontId="30" fillId="9" borderId="0" xfId="3" applyNumberFormat="1" applyFont="1" applyFill="1"/>
    <xf numFmtId="17" fontId="30" fillId="9" borderId="0" xfId="3" applyNumberFormat="1" applyFont="1" applyFill="1" applyAlignment="1">
      <alignment horizontal="right"/>
    </xf>
    <xf numFmtId="169" fontId="31" fillId="9" borderId="0" xfId="4" applyNumberFormat="1" applyFont="1" applyFill="1"/>
    <xf numFmtId="164" fontId="35" fillId="9" borderId="0" xfId="2" applyNumberFormat="1" applyFont="1" applyFill="1"/>
    <xf numFmtId="0" fontId="30" fillId="9" borderId="0" xfId="0" applyFont="1" applyFill="1" applyAlignment="1">
      <alignment horizontal="right"/>
    </xf>
    <xf numFmtId="165" fontId="35" fillId="9" borderId="0" xfId="0" applyNumberFormat="1" applyFont="1" applyFill="1"/>
    <xf numFmtId="165" fontId="37" fillId="9" borderId="0" xfId="0" applyNumberFormat="1" applyFont="1" applyFill="1"/>
    <xf numFmtId="165" fontId="31" fillId="9" borderId="0" xfId="0" applyNumberFormat="1" applyFont="1" applyFill="1"/>
    <xf numFmtId="165" fontId="35" fillId="9" borderId="0" xfId="0" applyNumberFormat="1" applyFont="1" applyFill="1" applyAlignment="1">
      <alignment horizontal="right"/>
    </xf>
    <xf numFmtId="165" fontId="30" fillId="9" borderId="0" xfId="0" applyNumberFormat="1" applyFont="1" applyFill="1"/>
    <xf numFmtId="165" fontId="37" fillId="9" borderId="0" xfId="0" applyNumberFormat="1" applyFont="1" applyFill="1" applyAlignment="1">
      <alignment horizontal="right"/>
    </xf>
    <xf numFmtId="170" fontId="31" fillId="9" borderId="0" xfId="0" applyNumberFormat="1" applyFont="1" applyFill="1"/>
    <xf numFmtId="0" fontId="25" fillId="0" borderId="0" xfId="0" applyFont="1" applyAlignment="1">
      <alignment horizontal="left"/>
    </xf>
    <xf numFmtId="0" fontId="3" fillId="0" borderId="0" xfId="5"/>
    <xf numFmtId="0" fontId="39" fillId="6" borderId="0" xfId="0" applyFont="1" applyFill="1" applyAlignment="1">
      <alignment horizontal="left"/>
    </xf>
    <xf numFmtId="0" fontId="40" fillId="0" borderId="0" xfId="0" applyFont="1" applyAlignment="1">
      <alignment horizontal="center"/>
    </xf>
    <xf numFmtId="0" fontId="40" fillId="0" borderId="0" xfId="0" applyFont="1"/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39" fillId="0" borderId="0" xfId="0" applyFont="1"/>
    <xf numFmtId="0" fontId="39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43" fontId="43" fillId="0" borderId="0" xfId="1" applyFont="1" applyBorder="1" applyAlignment="1">
      <alignment horizontal="left"/>
    </xf>
    <xf numFmtId="43" fontId="39" fillId="0" borderId="0" xfId="1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3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9" fillId="0" borderId="32" xfId="0" applyFont="1" applyBorder="1"/>
    <xf numFmtId="0" fontId="42" fillId="0" borderId="10" xfId="0" applyFont="1" applyBorder="1" applyAlignment="1">
      <alignment horizontal="left"/>
    </xf>
    <xf numFmtId="0" fontId="39" fillId="0" borderId="10" xfId="0" applyFont="1" applyBorder="1" applyAlignment="1">
      <alignment horizontal="center"/>
    </xf>
    <xf numFmtId="0" fontId="39" fillId="0" borderId="10" xfId="0" applyFont="1" applyBorder="1" applyAlignment="1">
      <alignment wrapText="1"/>
    </xf>
    <xf numFmtId="0" fontId="39" fillId="0" borderId="10" xfId="0" applyFont="1" applyBorder="1" applyAlignment="1">
      <alignment horizontal="center" wrapText="1"/>
    </xf>
    <xf numFmtId="165" fontId="39" fillId="0" borderId="10" xfId="6" applyNumberFormat="1" applyFont="1" applyBorder="1" applyAlignment="1">
      <alignment horizontal="left"/>
    </xf>
    <xf numFmtId="165" fontId="39" fillId="0" borderId="10" xfId="6" applyNumberFormat="1" applyFont="1" applyBorder="1" applyAlignment="1">
      <alignment horizontal="left" wrapText="1"/>
    </xf>
    <xf numFmtId="0" fontId="39" fillId="0" borderId="33" xfId="0" applyFont="1" applyBorder="1" applyAlignment="1">
      <alignment horizontal="left"/>
    </xf>
    <xf numFmtId="165" fontId="39" fillId="0" borderId="33" xfId="6" applyNumberFormat="1" applyFont="1" applyBorder="1" applyAlignment="1">
      <alignment horizontal="center"/>
    </xf>
    <xf numFmtId="43" fontId="39" fillId="0" borderId="33" xfId="1" applyFont="1" applyBorder="1" applyAlignment="1"/>
    <xf numFmtId="43" fontId="39" fillId="0" borderId="34" xfId="1" applyFont="1" applyBorder="1" applyAlignment="1">
      <alignment horizontal="left"/>
    </xf>
    <xf numFmtId="165" fontId="39" fillId="0" borderId="34" xfId="6" applyNumberFormat="1" applyFont="1" applyBorder="1" applyAlignment="1">
      <alignment horizontal="left"/>
    </xf>
    <xf numFmtId="165" fontId="39" fillId="0" borderId="33" xfId="6" applyNumberFormat="1" applyFont="1" applyBorder="1" applyAlignment="1">
      <alignment horizontal="left"/>
    </xf>
    <xf numFmtId="165" fontId="39" fillId="0" borderId="33" xfId="6" applyNumberFormat="1" applyFont="1" applyBorder="1" applyAlignment="1">
      <alignment horizontal="left" wrapText="1"/>
    </xf>
    <xf numFmtId="0" fontId="44" fillId="0" borderId="7" xfId="0" applyFont="1" applyBorder="1" applyAlignment="1">
      <alignment horizontal="left"/>
    </xf>
    <xf numFmtId="3" fontId="45" fillId="0" borderId="7" xfId="0" applyNumberFormat="1" applyFont="1" applyBorder="1" applyAlignment="1">
      <alignment horizontal="center" vertical="center"/>
    </xf>
    <xf numFmtId="43" fontId="43" fillId="0" borderId="33" xfId="1" applyFont="1" applyBorder="1" applyAlignment="1"/>
    <xf numFmtId="43" fontId="43" fillId="6" borderId="34" xfId="1" applyFont="1" applyFill="1" applyBorder="1" applyAlignment="1">
      <alignment horizontal="left"/>
    </xf>
    <xf numFmtId="43" fontId="45" fillId="6" borderId="34" xfId="1" applyFont="1" applyFill="1" applyBorder="1" applyAlignment="1">
      <alignment horizontal="left"/>
    </xf>
    <xf numFmtId="165" fontId="42" fillId="0" borderId="34" xfId="6" applyNumberFormat="1" applyFont="1" applyBorder="1" applyAlignment="1">
      <alignment horizontal="left" wrapText="1"/>
    </xf>
    <xf numFmtId="3" fontId="42" fillId="0" borderId="3" xfId="0" applyNumberFormat="1" applyFont="1" applyBorder="1" applyAlignment="1">
      <alignment horizontal="center" vertical="center"/>
    </xf>
    <xf numFmtId="3" fontId="39" fillId="15" borderId="7" xfId="0" applyNumberFormat="1" applyFont="1" applyFill="1" applyBorder="1" applyAlignment="1">
      <alignment horizontal="left"/>
    </xf>
    <xf numFmtId="3" fontId="39" fillId="15" borderId="7" xfId="0" applyNumberFormat="1" applyFont="1" applyFill="1" applyBorder="1" applyAlignment="1">
      <alignment horizontal="center" vertical="center"/>
    </xf>
    <xf numFmtId="43" fontId="43" fillId="15" borderId="7" xfId="1" applyFont="1" applyFill="1" applyBorder="1" applyAlignment="1">
      <alignment vertical="center"/>
    </xf>
    <xf numFmtId="43" fontId="39" fillId="15" borderId="7" xfId="1" applyFont="1" applyFill="1" applyBorder="1" applyAlignment="1">
      <alignment vertical="center"/>
    </xf>
    <xf numFmtId="3" fontId="39" fillId="15" borderId="7" xfId="0" applyNumberFormat="1" applyFont="1" applyFill="1" applyBorder="1" applyAlignment="1">
      <alignment vertical="center"/>
    </xf>
    <xf numFmtId="3" fontId="44" fillId="0" borderId="7" xfId="0" applyNumberFormat="1" applyFont="1" applyBorder="1" applyAlignment="1">
      <alignment horizontal="center" vertical="center"/>
    </xf>
    <xf numFmtId="43" fontId="44" fillId="0" borderId="7" xfId="1" applyFont="1" applyBorder="1" applyAlignment="1">
      <alignment horizontal="center" vertical="center"/>
    </xf>
    <xf numFmtId="43" fontId="42" fillId="0" borderId="3" xfId="1" applyFont="1" applyBorder="1" applyAlignment="1">
      <alignment horizontal="center" vertical="center"/>
    </xf>
    <xf numFmtId="164" fontId="42" fillId="0" borderId="7" xfId="0" applyNumberFormat="1" applyFont="1" applyBorder="1" applyAlignment="1">
      <alignment horizontal="center" vertical="center"/>
    </xf>
    <xf numFmtId="3" fontId="42" fillId="0" borderId="7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left"/>
    </xf>
    <xf numFmtId="41" fontId="44" fillId="0" borderId="7" xfId="1" applyNumberFormat="1" applyFont="1" applyBorder="1" applyAlignment="1">
      <alignment horizontal="center" vertical="center"/>
    </xf>
    <xf numFmtId="3" fontId="42" fillId="0" borderId="34" xfId="0" applyNumberFormat="1" applyFont="1" applyBorder="1" applyAlignment="1">
      <alignment horizontal="center" vertical="center"/>
    </xf>
    <xf numFmtId="3" fontId="47" fillId="0" borderId="7" xfId="0" applyNumberFormat="1" applyFont="1" applyBorder="1" applyAlignment="1">
      <alignment horizontal="center" vertical="center"/>
    </xf>
    <xf numFmtId="43" fontId="48" fillId="0" borderId="7" xfId="1" applyFont="1" applyFill="1" applyBorder="1" applyAlignment="1">
      <alignment horizontal="center" vertical="center"/>
    </xf>
    <xf numFmtId="3" fontId="46" fillId="15" borderId="7" xfId="0" applyNumberFormat="1" applyFont="1" applyFill="1" applyBorder="1" applyAlignment="1">
      <alignment horizontal="center" vertical="center"/>
    </xf>
    <xf numFmtId="43" fontId="48" fillId="15" borderId="7" xfId="1" applyFont="1" applyFill="1" applyBorder="1" applyAlignment="1">
      <alignment horizontal="center" vertical="center"/>
    </xf>
    <xf numFmtId="43" fontId="46" fillId="15" borderId="7" xfId="1" applyFont="1" applyFill="1" applyBorder="1" applyAlignment="1">
      <alignment horizontal="center" vertical="center"/>
    </xf>
    <xf numFmtId="0" fontId="42" fillId="0" borderId="7" xfId="0" applyFont="1" applyBorder="1" applyAlignment="1">
      <alignment horizontal="left"/>
    </xf>
    <xf numFmtId="3" fontId="42" fillId="0" borderId="7" xfId="0" applyNumberFormat="1" applyFont="1" applyBorder="1" applyAlignment="1">
      <alignment vertical="center"/>
    </xf>
    <xf numFmtId="0" fontId="39" fillId="0" borderId="7" xfId="0" applyFont="1" applyBorder="1" applyAlignment="1">
      <alignment horizontal="left"/>
    </xf>
    <xf numFmtId="0" fontId="49" fillId="0" borderId="7" xfId="0" applyFont="1" applyBorder="1" applyAlignment="1">
      <alignment horizontal="center"/>
    </xf>
    <xf numFmtId="0" fontId="49" fillId="0" borderId="7" xfId="0" applyFont="1" applyBorder="1"/>
    <xf numFmtId="0" fontId="49" fillId="0" borderId="3" xfId="0" applyFont="1" applyBorder="1"/>
    <xf numFmtId="43" fontId="50" fillId="0" borderId="3" xfId="1" applyFont="1" applyBorder="1" applyAlignment="1"/>
    <xf numFmtId="43" fontId="39" fillId="6" borderId="34" xfId="1" applyFont="1" applyFill="1" applyBorder="1" applyAlignment="1">
      <alignment horizontal="left"/>
    </xf>
    <xf numFmtId="43" fontId="42" fillId="6" borderId="34" xfId="1" applyFont="1" applyFill="1" applyBorder="1" applyAlignment="1">
      <alignment horizontal="left"/>
    </xf>
    <xf numFmtId="43" fontId="49" fillId="0" borderId="3" xfId="1" applyFont="1" applyBorder="1"/>
    <xf numFmtId="0" fontId="45" fillId="0" borderId="7" xfId="0" applyFont="1" applyBorder="1" applyAlignment="1">
      <alignment horizontal="center"/>
    </xf>
    <xf numFmtId="43" fontId="43" fillId="0" borderId="3" xfId="1" applyFont="1" applyBorder="1" applyAlignment="1"/>
    <xf numFmtId="0" fontId="39" fillId="15" borderId="7" xfId="0" applyFont="1" applyFill="1" applyBorder="1" applyAlignment="1">
      <alignment horizontal="left"/>
    </xf>
    <xf numFmtId="43" fontId="43" fillId="15" borderId="7" xfId="1" applyFont="1" applyFill="1" applyBorder="1" applyAlignment="1">
      <alignment horizontal="right" vertical="center"/>
    </xf>
    <xf numFmtId="43" fontId="39" fillId="15" borderId="7" xfId="1" applyFont="1" applyFill="1" applyBorder="1" applyAlignment="1">
      <alignment horizontal="right" vertical="center"/>
    </xf>
    <xf numFmtId="3" fontId="39" fillId="15" borderId="3" xfId="0" applyNumberFormat="1" applyFont="1" applyFill="1" applyBorder="1" applyAlignment="1">
      <alignment horizontal="center" vertical="center"/>
    </xf>
    <xf numFmtId="0" fontId="44" fillId="0" borderId="32" xfId="0" applyFont="1" applyBorder="1" applyAlignment="1">
      <alignment horizontal="left"/>
    </xf>
    <xf numFmtId="43" fontId="43" fillId="6" borderId="3" xfId="0" applyNumberFormat="1" applyFont="1" applyFill="1" applyBorder="1"/>
    <xf numFmtId="43" fontId="45" fillId="6" borderId="3" xfId="0" applyNumberFormat="1" applyFont="1" applyFill="1" applyBorder="1"/>
    <xf numFmtId="3" fontId="44" fillId="0" borderId="3" xfId="5" applyNumberFormat="1" applyFont="1" applyBorder="1" applyAlignment="1">
      <alignment horizontal="center" vertical="center"/>
    </xf>
    <xf numFmtId="0" fontId="51" fillId="0" borderId="7" xfId="5" applyFont="1" applyBorder="1" applyAlignment="1">
      <alignment horizontal="center" vertical="center"/>
    </xf>
    <xf numFmtId="43" fontId="43" fillId="6" borderId="3" xfId="1" applyFont="1" applyFill="1" applyBorder="1"/>
    <xf numFmtId="43" fontId="45" fillId="6" borderId="3" xfId="1" applyFont="1" applyFill="1" applyBorder="1"/>
    <xf numFmtId="0" fontId="51" fillId="0" borderId="7" xfId="0" applyFont="1" applyBorder="1" applyAlignment="1">
      <alignment horizontal="center" vertical="center"/>
    </xf>
    <xf numFmtId="3" fontId="52" fillId="0" borderId="3" xfId="5" applyNumberFormat="1" applyFont="1" applyBorder="1" applyAlignment="1">
      <alignment horizontal="center" vertical="center"/>
    </xf>
    <xf numFmtId="3" fontId="39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horizontal="left"/>
    </xf>
    <xf numFmtId="165" fontId="39" fillId="15" borderId="3" xfId="6" applyNumberFormat="1" applyFont="1" applyFill="1" applyBorder="1" applyAlignment="1">
      <alignment horizontal="right"/>
    </xf>
    <xf numFmtId="165" fontId="39" fillId="15" borderId="7" xfId="6" applyNumberFormat="1" applyFont="1" applyFill="1" applyBorder="1" applyAlignment="1">
      <alignment horizontal="right"/>
    </xf>
    <xf numFmtId="3" fontId="25" fillId="15" borderId="0" xfId="0" applyNumberFormat="1" applyFont="1" applyFill="1" applyAlignment="1">
      <alignment vertical="center"/>
    </xf>
    <xf numFmtId="0" fontId="42" fillId="0" borderId="7" xfId="0" applyFont="1" applyBorder="1" applyAlignment="1">
      <alignment horizontal="center"/>
    </xf>
    <xf numFmtId="0" fontId="42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43" fontId="45" fillId="6" borderId="7" xfId="1" applyFont="1" applyFill="1" applyBorder="1"/>
    <xf numFmtId="41" fontId="42" fillId="0" borderId="31" xfId="1" applyNumberFormat="1" applyFont="1" applyFill="1" applyBorder="1" applyAlignment="1">
      <alignment horizontal="left"/>
    </xf>
    <xf numFmtId="0" fontId="39" fillId="15" borderId="7" xfId="0" applyFont="1" applyFill="1" applyBorder="1"/>
    <xf numFmtId="0" fontId="39" fillId="15" borderId="7" xfId="0" applyFont="1" applyFill="1" applyBorder="1" applyAlignment="1">
      <alignment horizontal="center"/>
    </xf>
    <xf numFmtId="0" fontId="39" fillId="0" borderId="7" xfId="0" applyFont="1" applyBorder="1"/>
    <xf numFmtId="0" fontId="39" fillId="0" borderId="7" xfId="0" applyFont="1" applyBorder="1" applyAlignment="1">
      <alignment horizontal="center"/>
    </xf>
    <xf numFmtId="43" fontId="39" fillId="0" borderId="7" xfId="1" applyFont="1" applyFill="1" applyBorder="1" applyAlignment="1">
      <alignment horizontal="right" vertical="center"/>
    </xf>
    <xf numFmtId="0" fontId="39" fillId="0" borderId="33" xfId="0" applyFont="1" applyBorder="1"/>
    <xf numFmtId="0" fontId="39" fillId="0" borderId="3" xfId="0" applyFont="1" applyBorder="1"/>
    <xf numFmtId="43" fontId="39" fillId="15" borderId="3" xfId="1" applyFont="1" applyFill="1" applyBorder="1" applyAlignment="1">
      <alignment horizontal="right" vertical="center"/>
    </xf>
    <xf numFmtId="0" fontId="49" fillId="0" borderId="0" xfId="0" applyFont="1"/>
    <xf numFmtId="43" fontId="49" fillId="0" borderId="0" xfId="1" applyFont="1" applyBorder="1"/>
    <xf numFmtId="43" fontId="43" fillId="13" borderId="7" xfId="1" applyFont="1" applyFill="1" applyBorder="1" applyAlignment="1">
      <alignment horizontal="right" vertical="center"/>
    </xf>
    <xf numFmtId="0" fontId="53" fillId="0" borderId="0" xfId="0" applyFont="1"/>
    <xf numFmtId="3" fontId="53" fillId="0" borderId="0" xfId="0" applyNumberFormat="1" applyFont="1"/>
    <xf numFmtId="3" fontId="54" fillId="0" borderId="0" xfId="0" applyNumberFormat="1" applyFont="1" applyAlignment="1">
      <alignment horizontal="center" vertical="top"/>
    </xf>
    <xf numFmtId="0" fontId="54" fillId="0" borderId="0" xfId="0" applyFont="1" applyAlignment="1">
      <alignment horizontal="center" vertical="top"/>
    </xf>
    <xf numFmtId="0" fontId="0" fillId="0" borderId="0" xfId="5" applyFont="1"/>
    <xf numFmtId="43" fontId="17" fillId="0" borderId="0" xfId="5" applyNumberFormat="1" applyFont="1"/>
    <xf numFmtId="0" fontId="0" fillId="0" borderId="17" xfId="5" applyFont="1" applyBorder="1"/>
    <xf numFmtId="0" fontId="3" fillId="0" borderId="35" xfId="5" applyBorder="1"/>
    <xf numFmtId="43" fontId="55" fillId="0" borderId="16" xfId="5" applyNumberFormat="1" applyFont="1" applyBorder="1"/>
    <xf numFmtId="43" fontId="3" fillId="0" borderId="0" xfId="5" applyNumberFormat="1"/>
    <xf numFmtId="0" fontId="44" fillId="0" borderId="0" xfId="0" applyFont="1" applyAlignment="1">
      <alignment horizontal="left"/>
    </xf>
    <xf numFmtId="43" fontId="50" fillId="0" borderId="0" xfId="1" applyFont="1" applyBorder="1" applyAlignment="1"/>
    <xf numFmtId="43" fontId="3" fillId="0" borderId="0" xfId="1"/>
    <xf numFmtId="0" fontId="56" fillId="9" borderId="0" xfId="0" applyFont="1" applyFill="1"/>
    <xf numFmtId="0" fontId="57" fillId="12" borderId="2" xfId="0" applyFont="1" applyFill="1" applyBorder="1" applyAlignment="1">
      <alignment vertical="center"/>
    </xf>
    <xf numFmtId="0" fontId="57" fillId="12" borderId="36" xfId="0" applyFont="1" applyFill="1" applyBorder="1" applyAlignment="1">
      <alignment horizontal="right"/>
    </xf>
    <xf numFmtId="17" fontId="59" fillId="4" borderId="0" xfId="7" applyNumberFormat="1" applyFont="1" applyFill="1" applyAlignment="1">
      <alignment horizontal="right" vertical="center"/>
    </xf>
    <xf numFmtId="17" fontId="60" fillId="9" borderId="0" xfId="7" applyNumberFormat="1" applyFont="1" applyAlignment="1">
      <alignment horizontal="right" vertical="center"/>
    </xf>
    <xf numFmtId="0" fontId="56" fillId="9" borderId="34" xfId="0" applyFont="1" applyFill="1" applyBorder="1" applyAlignment="1">
      <alignment vertical="center"/>
    </xf>
    <xf numFmtId="169" fontId="61" fillId="9" borderId="1" xfId="0" applyNumberFormat="1" applyFont="1" applyFill="1" applyBorder="1"/>
    <xf numFmtId="169" fontId="56" fillId="9" borderId="0" xfId="0" applyNumberFormat="1" applyFont="1" applyFill="1"/>
    <xf numFmtId="0" fontId="56" fillId="9" borderId="3" xfId="0" applyFont="1" applyFill="1" applyBorder="1" applyAlignment="1">
      <alignment vertical="center" wrapText="1"/>
    </xf>
    <xf numFmtId="169" fontId="61" fillId="9" borderId="31" xfId="0" applyNumberFormat="1" applyFont="1" applyFill="1" applyBorder="1"/>
    <xf numFmtId="169" fontId="61" fillId="9" borderId="31" xfId="4" applyNumberFormat="1" applyFont="1" applyFill="1" applyBorder="1"/>
    <xf numFmtId="0" fontId="57" fillId="9" borderId="3" xfId="0" applyFont="1" applyFill="1" applyBorder="1"/>
    <xf numFmtId="169" fontId="59" fillId="9" borderId="31" xfId="0" applyNumberFormat="1" applyFont="1" applyFill="1" applyBorder="1"/>
    <xf numFmtId="169" fontId="57" fillId="9" borderId="0" xfId="0" applyNumberFormat="1" applyFont="1" applyFill="1"/>
    <xf numFmtId="0" fontId="57" fillId="9" borderId="0" xfId="0" applyFont="1" applyFill="1"/>
    <xf numFmtId="0" fontId="62" fillId="9" borderId="0" xfId="0" applyFont="1" applyFill="1"/>
    <xf numFmtId="165" fontId="56" fillId="9" borderId="0" xfId="0" applyNumberFormat="1" applyFont="1" applyFill="1"/>
    <xf numFmtId="165" fontId="62" fillId="9" borderId="0" xfId="0" applyNumberFormat="1" applyFont="1" applyFill="1"/>
    <xf numFmtId="9" fontId="63" fillId="8" borderId="4" xfId="0" applyNumberFormat="1" applyFont="1" applyFill="1" applyBorder="1" applyAlignment="1">
      <alignment horizontal="center" wrapText="1"/>
    </xf>
    <xf numFmtId="9" fontId="63" fillId="8" borderId="5" xfId="0" applyNumberFormat="1" applyFont="1" applyFill="1" applyBorder="1" applyAlignment="1">
      <alignment horizontal="center" wrapText="1"/>
    </xf>
    <xf numFmtId="9" fontId="63" fillId="8" borderId="37" xfId="0" applyNumberFormat="1" applyFont="1" applyFill="1" applyBorder="1" applyAlignment="1">
      <alignment horizontal="center" wrapText="1"/>
    </xf>
    <xf numFmtId="9" fontId="63" fillId="8" borderId="14" xfId="0" applyNumberFormat="1" applyFont="1" applyFill="1" applyBorder="1" applyAlignment="1">
      <alignment horizontal="center" wrapText="1"/>
    </xf>
    <xf numFmtId="0" fontId="2" fillId="8" borderId="0" xfId="0" applyFont="1" applyFill="1"/>
    <xf numFmtId="9" fontId="64" fillId="7" borderId="15" xfId="0" applyNumberFormat="1" applyFont="1" applyFill="1" applyBorder="1" applyAlignment="1">
      <alignment horizontal="left" wrapText="1"/>
    </xf>
    <xf numFmtId="0" fontId="64" fillId="7" borderId="15" xfId="0" applyFont="1" applyFill="1" applyBorder="1" applyAlignment="1">
      <alignment horizontal="center" wrapText="1"/>
    </xf>
    <xf numFmtId="0" fontId="64" fillId="7" borderId="17" xfId="0" applyFont="1" applyFill="1" applyBorder="1" applyAlignment="1">
      <alignment horizontal="center" wrapText="1"/>
    </xf>
    <xf numFmtId="0" fontId="64" fillId="7" borderId="16" xfId="0" applyFont="1" applyFill="1" applyBorder="1" applyAlignment="1">
      <alignment horizontal="center" wrapText="1"/>
    </xf>
    <xf numFmtId="0" fontId="64" fillId="7" borderId="28" xfId="0" applyFont="1" applyFill="1" applyBorder="1" applyAlignment="1">
      <alignment horizontal="center" wrapText="1"/>
    </xf>
    <xf numFmtId="0" fontId="64" fillId="7" borderId="18" xfId="0" applyFont="1" applyFill="1" applyBorder="1" applyAlignment="1">
      <alignment horizontal="center" wrapText="1"/>
    </xf>
    <xf numFmtId="0" fontId="64" fillId="7" borderId="38" xfId="0" applyFont="1" applyFill="1" applyBorder="1" applyAlignment="1">
      <alignment horizontal="center" wrapText="1"/>
    </xf>
    <xf numFmtId="0" fontId="65" fillId="7" borderId="0" xfId="0" applyFont="1" applyFill="1" applyAlignment="1">
      <alignment wrapText="1"/>
    </xf>
    <xf numFmtId="0" fontId="66" fillId="0" borderId="15" xfId="0" applyFont="1" applyBorder="1" applyAlignment="1">
      <alignment horizontal="left" wrapText="1"/>
    </xf>
    <xf numFmtId="165" fontId="67" fillId="0" borderId="15" xfId="1" applyNumberFormat="1" applyFont="1" applyBorder="1" applyAlignment="1">
      <alignment wrapText="1"/>
    </xf>
    <xf numFmtId="165" fontId="67" fillId="0" borderId="17" xfId="1" applyNumberFormat="1" applyFont="1" applyBorder="1" applyAlignment="1">
      <alignment wrapText="1"/>
    </xf>
    <xf numFmtId="165" fontId="67" fillId="0" borderId="28" xfId="1" applyNumberFormat="1" applyFont="1" applyBorder="1" applyAlignment="1">
      <alignment wrapText="1"/>
    </xf>
    <xf numFmtId="165" fontId="67" fillId="0" borderId="18" xfId="1" applyNumberFormat="1" applyFont="1" applyBorder="1" applyAlignment="1">
      <alignment wrapText="1"/>
    </xf>
    <xf numFmtId="174" fontId="67" fillId="16" borderId="18" xfId="1" applyNumberFormat="1" applyFont="1" applyFill="1" applyBorder="1" applyAlignment="1">
      <alignment wrapText="1"/>
    </xf>
    <xf numFmtId="43" fontId="67" fillId="6" borderId="17" xfId="1" applyFont="1" applyFill="1" applyBorder="1" applyAlignment="1">
      <alignment wrapText="1"/>
    </xf>
    <xf numFmtId="43" fontId="67" fillId="10" borderId="17" xfId="1" applyFont="1" applyFill="1" applyBorder="1" applyAlignment="1">
      <alignment wrapText="1"/>
    </xf>
    <xf numFmtId="43" fontId="67" fillId="16" borderId="17" xfId="1" applyFont="1" applyFill="1" applyBorder="1" applyAlignment="1">
      <alignment wrapText="1"/>
    </xf>
    <xf numFmtId="43" fontId="67" fillId="0" borderId="7" xfId="1" applyFont="1" applyFill="1" applyBorder="1" applyAlignment="1">
      <alignment wrapText="1"/>
    </xf>
    <xf numFmtId="43" fontId="55" fillId="0" borderId="0" xfId="1" applyFont="1"/>
    <xf numFmtId="9" fontId="68" fillId="0" borderId="15" xfId="0" applyNumberFormat="1" applyFont="1" applyBorder="1" applyAlignment="1">
      <alignment horizontal="left" wrapText="1"/>
    </xf>
    <xf numFmtId="165" fontId="67" fillId="0" borderId="39" xfId="1" applyNumberFormat="1" applyFont="1" applyBorder="1" applyAlignment="1">
      <alignment wrapText="1"/>
    </xf>
    <xf numFmtId="43" fontId="67" fillId="16" borderId="15" xfId="1" applyFont="1" applyFill="1" applyBorder="1" applyAlignment="1">
      <alignment wrapText="1"/>
    </xf>
    <xf numFmtId="9" fontId="68" fillId="0" borderId="17" xfId="0" applyNumberFormat="1" applyFont="1" applyBorder="1" applyAlignment="1">
      <alignment horizontal="left" wrapText="1"/>
    </xf>
    <xf numFmtId="9" fontId="68" fillId="0" borderId="26" xfId="0" applyNumberFormat="1" applyFont="1" applyBorder="1" applyAlignment="1">
      <alignment horizontal="left" wrapText="1"/>
    </xf>
    <xf numFmtId="165" fontId="67" fillId="0" borderId="25" xfId="1" applyNumberFormat="1" applyFont="1" applyBorder="1" applyAlignment="1">
      <alignment wrapText="1"/>
    </xf>
    <xf numFmtId="165" fontId="67" fillId="0" borderId="26" xfId="1" applyNumberFormat="1" applyFont="1" applyBorder="1" applyAlignment="1">
      <alignment wrapText="1"/>
    </xf>
    <xf numFmtId="9" fontId="68" fillId="0" borderId="27" xfId="0" applyNumberFormat="1" applyFont="1" applyBorder="1" applyAlignment="1">
      <alignment horizontal="left" wrapText="1"/>
    </xf>
    <xf numFmtId="165" fontId="67" fillId="0" borderId="0" xfId="1" applyNumberFormat="1" applyFont="1" applyBorder="1" applyAlignment="1">
      <alignment wrapText="1"/>
    </xf>
    <xf numFmtId="165" fontId="69" fillId="0" borderId="27" xfId="1" applyNumberFormat="1" applyFont="1" applyBorder="1" applyAlignment="1">
      <alignment wrapText="1"/>
    </xf>
    <xf numFmtId="165" fontId="69" fillId="0" borderId="18" xfId="1" applyNumberFormat="1" applyFont="1" applyBorder="1" applyAlignment="1">
      <alignment wrapText="1"/>
    </xf>
    <xf numFmtId="43" fontId="70" fillId="16" borderId="15" xfId="1" applyFont="1" applyFill="1" applyBorder="1" applyAlignment="1">
      <alignment wrapText="1"/>
    </xf>
    <xf numFmtId="43" fontId="69" fillId="6" borderId="17" xfId="1" applyFont="1" applyFill="1" applyBorder="1" applyAlignment="1">
      <alignment wrapText="1"/>
    </xf>
    <xf numFmtId="43" fontId="69" fillId="16" borderId="17" xfId="1" applyFont="1" applyFill="1" applyBorder="1" applyAlignment="1">
      <alignment wrapText="1"/>
    </xf>
    <xf numFmtId="43" fontId="69" fillId="0" borderId="7" xfId="1" applyFont="1" applyFill="1" applyBorder="1" applyAlignment="1">
      <alignment wrapText="1"/>
    </xf>
    <xf numFmtId="9" fontId="71" fillId="0" borderId="40" xfId="0" applyNumberFormat="1" applyFont="1" applyBorder="1" applyAlignment="1">
      <alignment horizontal="left" wrapText="1"/>
    </xf>
    <xf numFmtId="165" fontId="72" fillId="0" borderId="15" xfId="1" applyNumberFormat="1" applyFont="1" applyBorder="1" applyAlignment="1">
      <alignment wrapText="1"/>
    </xf>
    <xf numFmtId="165" fontId="72" fillId="0" borderId="15" xfId="0" applyNumberFormat="1" applyFont="1" applyBorder="1" applyAlignment="1">
      <alignment wrapText="1"/>
    </xf>
    <xf numFmtId="165" fontId="71" fillId="0" borderId="35" xfId="0" applyNumberFormat="1" applyFont="1" applyBorder="1" applyAlignment="1">
      <alignment wrapText="1"/>
    </xf>
    <xf numFmtId="165" fontId="69" fillId="0" borderId="15" xfId="1" applyNumberFormat="1" applyFont="1" applyFill="1" applyBorder="1" applyAlignment="1">
      <alignment wrapText="1"/>
    </xf>
    <xf numFmtId="165" fontId="70" fillId="16" borderId="15" xfId="1" applyNumberFormat="1" applyFont="1" applyFill="1" applyBorder="1" applyAlignment="1">
      <alignment wrapText="1"/>
    </xf>
    <xf numFmtId="43" fontId="72" fillId="6" borderId="17" xfId="1" applyFont="1" applyFill="1" applyBorder="1" applyAlignment="1">
      <alignment wrapText="1"/>
    </xf>
    <xf numFmtId="43" fontId="72" fillId="16" borderId="17" xfId="1" applyFont="1" applyFill="1" applyBorder="1" applyAlignment="1">
      <alignment wrapText="1"/>
    </xf>
    <xf numFmtId="43" fontId="72" fillId="0" borderId="7" xfId="1" applyFont="1" applyFill="1" applyBorder="1" applyAlignment="1">
      <alignment wrapText="1"/>
    </xf>
    <xf numFmtId="165" fontId="67" fillId="0" borderId="21" xfId="1" applyNumberFormat="1" applyFont="1" applyBorder="1" applyAlignment="1">
      <alignment wrapText="1"/>
    </xf>
    <xf numFmtId="165" fontId="67" fillId="16" borderId="21" xfId="0" applyNumberFormat="1" applyFont="1" applyFill="1" applyBorder="1" applyAlignment="1">
      <alignment wrapText="1"/>
    </xf>
    <xf numFmtId="43" fontId="67" fillId="6" borderId="26" xfId="1" applyFont="1" applyFill="1" applyBorder="1" applyAlignment="1">
      <alignment wrapText="1"/>
    </xf>
    <xf numFmtId="165" fontId="70" fillId="0" borderId="0" xfId="0" applyNumberFormat="1" applyFont="1" applyAlignment="1">
      <alignment wrapText="1"/>
    </xf>
    <xf numFmtId="44" fontId="73" fillId="6" borderId="0" xfId="0" applyNumberFormat="1" applyFont="1" applyFill="1"/>
    <xf numFmtId="0" fontId="74" fillId="0" borderId="0" xfId="0" applyFont="1"/>
    <xf numFmtId="0" fontId="75" fillId="0" borderId="0" xfId="0" applyFont="1"/>
    <xf numFmtId="4" fontId="35" fillId="0" borderId="0" xfId="0" applyNumberFormat="1" applyFont="1"/>
    <xf numFmtId="43" fontId="31" fillId="0" borderId="0" xfId="0" applyNumberFormat="1" applyFont="1"/>
    <xf numFmtId="0" fontId="76" fillId="0" borderId="0" xfId="0" applyFont="1" applyAlignment="1">
      <alignment horizontal="right"/>
    </xf>
    <xf numFmtId="43" fontId="73" fillId="0" borderId="0" xfId="1" applyFont="1"/>
    <xf numFmtId="43" fontId="73" fillId="0" borderId="0" xfId="0" applyNumberFormat="1" applyFont="1"/>
    <xf numFmtId="0" fontId="77" fillId="0" borderId="0" xfId="0" applyFont="1"/>
    <xf numFmtId="43" fontId="0" fillId="0" borderId="0" xfId="0" applyNumberFormat="1"/>
    <xf numFmtId="43" fontId="17" fillId="0" borderId="0" xfId="0" applyNumberFormat="1" applyFont="1"/>
    <xf numFmtId="10" fontId="17" fillId="0" borderId="0" xfId="2" applyNumberFormat="1" applyFont="1"/>
    <xf numFmtId="9" fontId="77" fillId="0" borderId="0" xfId="2" applyFont="1"/>
    <xf numFmtId="0" fontId="78" fillId="6" borderId="0" xfId="0" applyFont="1" applyFill="1"/>
    <xf numFmtId="9" fontId="78" fillId="6" borderId="0" xfId="2" applyFont="1" applyFill="1"/>
    <xf numFmtId="0" fontId="79" fillId="6" borderId="0" xfId="0" applyFont="1" applyFill="1"/>
    <xf numFmtId="43" fontId="79" fillId="6" borderId="0" xfId="0" applyNumberFormat="1" applyFont="1" applyFill="1"/>
    <xf numFmtId="9" fontId="80" fillId="0" borderId="4" xfId="0" applyNumberFormat="1" applyFont="1" applyBorder="1" applyAlignment="1">
      <alignment horizontal="center" wrapText="1"/>
    </xf>
    <xf numFmtId="9" fontId="80" fillId="0" borderId="5" xfId="0" applyNumberFormat="1" applyFont="1" applyBorder="1" applyAlignment="1">
      <alignment horizontal="center" wrapText="1"/>
    </xf>
    <xf numFmtId="9" fontId="80" fillId="0" borderId="37" xfId="0" applyNumberFormat="1" applyFont="1" applyBorder="1" applyAlignment="1">
      <alignment horizontal="center" wrapText="1"/>
    </xf>
    <xf numFmtId="9" fontId="80" fillId="0" borderId="14" xfId="0" applyNumberFormat="1" applyFont="1" applyBorder="1" applyAlignment="1">
      <alignment horizontal="center" wrapText="1"/>
    </xf>
    <xf numFmtId="9" fontId="68" fillId="3" borderId="15" xfId="8" applyNumberFormat="1" applyFont="1" applyFill="1" applyBorder="1" applyAlignment="1">
      <alignment horizontal="center" wrapText="1"/>
    </xf>
    <xf numFmtId="9" fontId="68" fillId="3" borderId="15" xfId="8" applyNumberFormat="1" applyFont="1" applyFill="1" applyBorder="1" applyAlignment="1">
      <alignment horizontal="left" wrapText="1"/>
    </xf>
    <xf numFmtId="0" fontId="68" fillId="3" borderId="15" xfId="8" applyFont="1" applyFill="1" applyBorder="1" applyAlignment="1">
      <alignment horizontal="center" wrapText="1"/>
    </xf>
    <xf numFmtId="0" fontId="68" fillId="3" borderId="17" xfId="8" applyFont="1" applyFill="1" applyBorder="1" applyAlignment="1">
      <alignment horizontal="center" wrapText="1"/>
    </xf>
    <xf numFmtId="0" fontId="68" fillId="16" borderId="16" xfId="8" applyFont="1" applyFill="1" applyBorder="1" applyAlignment="1">
      <alignment horizontal="center" wrapText="1"/>
    </xf>
    <xf numFmtId="0" fontId="68" fillId="3" borderId="28" xfId="8" applyFont="1" applyFill="1" applyBorder="1" applyAlignment="1">
      <alignment horizontal="center" wrapText="1"/>
    </xf>
    <xf numFmtId="0" fontId="68" fillId="16" borderId="18" xfId="8" applyFont="1" applyFill="1" applyBorder="1" applyAlignment="1">
      <alignment horizontal="center" wrapText="1"/>
    </xf>
    <xf numFmtId="0" fontId="68" fillId="3" borderId="38" xfId="8" applyFont="1" applyFill="1" applyBorder="1" applyAlignment="1">
      <alignment horizontal="center" wrapText="1"/>
    </xf>
    <xf numFmtId="0" fontId="66" fillId="0" borderId="15" xfId="0" applyFont="1" applyBorder="1" applyAlignment="1">
      <alignment horizontal="center" wrapText="1"/>
    </xf>
    <xf numFmtId="9" fontId="68" fillId="0" borderId="15" xfId="0" applyNumberFormat="1" applyFont="1" applyBorder="1" applyAlignment="1">
      <alignment horizontal="center" wrapText="1"/>
    </xf>
    <xf numFmtId="9" fontId="68" fillId="0" borderId="17" xfId="0" applyNumberFormat="1" applyFont="1" applyBorder="1" applyAlignment="1">
      <alignment horizontal="center" wrapText="1"/>
    </xf>
    <xf numFmtId="9" fontId="68" fillId="0" borderId="26" xfId="0" applyNumberFormat="1" applyFont="1" applyBorder="1" applyAlignment="1">
      <alignment horizontal="center" wrapText="1"/>
    </xf>
    <xf numFmtId="9" fontId="68" fillId="0" borderId="27" xfId="0" applyNumberFormat="1" applyFont="1" applyBorder="1" applyAlignment="1">
      <alignment horizontal="center" wrapText="1"/>
    </xf>
    <xf numFmtId="43" fontId="69" fillId="10" borderId="17" xfId="1" applyFont="1" applyFill="1" applyBorder="1" applyAlignment="1">
      <alignment wrapText="1"/>
    </xf>
    <xf numFmtId="9" fontId="71" fillId="0" borderId="40" xfId="0" applyNumberFormat="1" applyFont="1" applyBorder="1" applyAlignment="1">
      <alignment horizontal="center" wrapText="1"/>
    </xf>
    <xf numFmtId="10" fontId="0" fillId="0" borderId="0" xfId="2" applyNumberFormat="1" applyFont="1"/>
    <xf numFmtId="169" fontId="30" fillId="9" borderId="0" xfId="4" applyNumberFormat="1" applyFont="1" applyFill="1"/>
    <xf numFmtId="0" fontId="0" fillId="9" borderId="0" xfId="0" applyFill="1"/>
    <xf numFmtId="174" fontId="35" fillId="9" borderId="0" xfId="0" applyNumberFormat="1" applyFont="1" applyFill="1" applyAlignment="1">
      <alignment horizontal="right"/>
    </xf>
    <xf numFmtId="174" fontId="31" fillId="9" borderId="0" xfId="0" applyNumberFormat="1" applyFont="1" applyFill="1" applyAlignment="1">
      <alignment horizontal="right"/>
    </xf>
  </cellXfs>
  <cellStyles count="9">
    <cellStyle name="Comma" xfId="1" builtinId="3"/>
    <cellStyle name="Comma 14" xfId="3" xr:uid="{F0BCAEF6-7170-4868-8F3E-D88F59E248E3}"/>
    <cellStyle name="Comma 2" xfId="4" xr:uid="{09702BE0-370B-4EF6-AC39-C9C2FF5EC55B}"/>
    <cellStyle name="Comma 4" xfId="6" xr:uid="{ED67E4D8-49E6-4F39-B202-0F7A0507AD0A}"/>
    <cellStyle name="Good 2" xfId="8" xr:uid="{96D01CBA-D302-4B6D-95B4-D04702C7551E}"/>
    <cellStyle name="Normal" xfId="0" builtinId="0"/>
    <cellStyle name="Normal 4" xfId="5" xr:uid="{49478F46-F134-42F2-B559-401AE791D65A}"/>
    <cellStyle name="Normal 4 2" xfId="7" xr:uid="{88EF6C32-5DBF-4A9C-81DD-48CF06DBF77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1036320</xdr:colOff>
      <xdr:row>26</xdr:row>
      <xdr:rowOff>220980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39B3518-F8E6-410D-B5E8-05F8E5B5D4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437120" cy="767905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1219200</xdr:colOff>
      <xdr:row>26</xdr:row>
      <xdr:rowOff>161925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FFF5884-2189-478C-9762-9F11E85C35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5</xdr:col>
      <xdr:colOff>76200</xdr:colOff>
      <xdr:row>23</xdr:row>
      <xdr:rowOff>304800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F3BF94FB-E6CC-4291-ADC6-95F1779CE0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41045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5</xdr:col>
      <xdr:colOff>95250</xdr:colOff>
      <xdr:row>23</xdr:row>
      <xdr:rowOff>381000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8FA47511-DCF9-4629-BF7C-8EE812028E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4295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nday.oladele\AppData\Local\Microsoft\Olk\Attachments\ooa-46fa7e25-430b-4611-ba07-710d321f8eb9\9264b5a449ec76194f4f181e0979c3c539eb3b602ff1f1c3baf0f31ac63297de\GOENERGY%20BUDGET%20TEMPLATE%20.xlsx" TargetMode="External"/><Relationship Id="rId1" Type="http://schemas.openxmlformats.org/officeDocument/2006/relationships/externalLinkPath" Target="file:///C:\Users\sunday.oladele\AppData\Local\Microsoft\Olk\Attachments\ooa-46fa7e25-430b-4611-ba07-710d321f8eb9\9264b5a449ec76194f4f181e0979c3c539eb3b602ff1f1c3baf0f31ac63297de\GOENERGY%20BUDGET%20TEMPLAT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BUDGET"/>
      <sheetName val="Quarterly "/>
      <sheetName val="Assumptions "/>
      <sheetName val="Volumes"/>
      <sheetName val="Margins"/>
      <sheetName val="Recurrent Expenses"/>
      <sheetName val="Purchases"/>
      <sheetName val="Dep sche"/>
      <sheetName val="Capital and Depn"/>
      <sheetName val="Loan Schedule"/>
    </sheetNames>
    <sheetDataSet>
      <sheetData sheetId="0"/>
      <sheetData sheetId="1"/>
      <sheetData sheetId="2"/>
      <sheetData sheetId="3"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F719-7591-4B0D-B008-EDC37155641B}">
  <sheetPr>
    <tabColor rgb="FF00B050"/>
  </sheetPr>
  <dimension ref="A1:LJ71"/>
  <sheetViews>
    <sheetView showGridLines="0" workbookViewId="0">
      <selection activeCell="C48" sqref="C48"/>
    </sheetView>
  </sheetViews>
  <sheetFormatPr defaultColWidth="10.28515625" defaultRowHeight="15" x14ac:dyDescent="0.25"/>
  <cols>
    <col min="1" max="1" width="36" style="268" customWidth="1"/>
    <col min="2" max="8" width="20" style="268" customWidth="1"/>
    <col min="9" max="9" width="16" style="268" customWidth="1"/>
    <col min="10" max="16384" width="10.28515625" style="268"/>
  </cols>
  <sheetData>
    <row r="1" spans="1:9" ht="22.15" customHeight="1" x14ac:dyDescent="0.25">
      <c r="A1" s="267"/>
      <c r="B1" s="267"/>
      <c r="C1" s="60"/>
      <c r="D1" s="267"/>
      <c r="E1" s="267"/>
      <c r="F1" s="267"/>
      <c r="G1" s="267"/>
      <c r="H1" s="267"/>
      <c r="I1" s="267"/>
    </row>
    <row r="2" spans="1:9" ht="22.15" customHeight="1" x14ac:dyDescent="0.25">
      <c r="A2" s="267"/>
      <c r="B2" s="267"/>
      <c r="C2" s="60"/>
      <c r="D2" s="267"/>
      <c r="E2" s="267"/>
      <c r="F2" s="267"/>
      <c r="G2" s="267"/>
      <c r="H2" s="267"/>
      <c r="I2" s="267"/>
    </row>
    <row r="3" spans="1:9" ht="22.15" customHeight="1" x14ac:dyDescent="0.3">
      <c r="A3" s="269" t="s">
        <v>173</v>
      </c>
      <c r="B3" s="270"/>
      <c r="C3" s="271"/>
      <c r="D3" s="270"/>
      <c r="E3" s="270"/>
      <c r="F3" s="272"/>
      <c r="G3" s="270"/>
      <c r="H3" s="270"/>
      <c r="I3" s="270"/>
    </row>
    <row r="4" spans="1:9" ht="31.15" customHeight="1" x14ac:dyDescent="0.25">
      <c r="A4" s="273" t="s">
        <v>174</v>
      </c>
      <c r="B4" s="273"/>
      <c r="C4" s="274"/>
      <c r="D4" s="273"/>
      <c r="E4" s="273"/>
      <c r="F4" s="273"/>
      <c r="G4" s="273"/>
      <c r="H4" s="273"/>
      <c r="I4" s="273"/>
    </row>
    <row r="5" spans="1:9" ht="31.15" customHeight="1" x14ac:dyDescent="0.25">
      <c r="A5" s="275" t="s">
        <v>175</v>
      </c>
      <c r="B5" s="273"/>
      <c r="C5" s="274"/>
      <c r="D5" s="273"/>
      <c r="E5" s="273"/>
      <c r="F5" s="273"/>
      <c r="G5" s="273"/>
      <c r="H5" s="273"/>
      <c r="I5" s="273"/>
    </row>
    <row r="6" spans="1:9" ht="21.4" customHeight="1" x14ac:dyDescent="0.25">
      <c r="A6" s="276" t="s">
        <v>176</v>
      </c>
      <c r="B6" s="277">
        <f>[1]Margins!B19</f>
        <v>0</v>
      </c>
      <c r="C6" s="274"/>
      <c r="D6" s="278"/>
      <c r="E6" s="278"/>
      <c r="F6" s="273"/>
      <c r="G6" s="273"/>
      <c r="H6" s="273"/>
      <c r="I6" s="273"/>
    </row>
    <row r="7" spans="1:9" ht="22.15" customHeight="1" x14ac:dyDescent="0.25">
      <c r="A7" s="279"/>
      <c r="B7" s="273"/>
      <c r="C7" s="274"/>
      <c r="D7" s="273"/>
      <c r="E7" s="273"/>
      <c r="F7" s="273"/>
      <c r="G7" s="273"/>
      <c r="H7" s="273"/>
      <c r="I7" s="273"/>
    </row>
    <row r="8" spans="1:9" ht="22.15" customHeight="1" x14ac:dyDescent="0.25">
      <c r="A8" s="280" t="s">
        <v>7</v>
      </c>
      <c r="B8" s="281"/>
      <c r="C8" s="281"/>
      <c r="D8" s="281"/>
      <c r="E8" s="281"/>
      <c r="F8" s="282"/>
      <c r="G8" s="282"/>
      <c r="H8" s="282"/>
      <c r="I8" s="283"/>
    </row>
    <row r="9" spans="1:9" ht="33.75" customHeight="1" x14ac:dyDescent="0.25">
      <c r="A9" s="284"/>
      <c r="B9" s="285" t="s">
        <v>177</v>
      </c>
      <c r="C9" s="286" t="s">
        <v>178</v>
      </c>
      <c r="D9" s="287" t="s">
        <v>179</v>
      </c>
      <c r="E9" s="287" t="s">
        <v>179</v>
      </c>
      <c r="F9" s="287" t="s">
        <v>180</v>
      </c>
      <c r="G9" s="288" t="s">
        <v>181</v>
      </c>
      <c r="H9" s="289" t="s">
        <v>182</v>
      </c>
      <c r="I9" s="288" t="s">
        <v>183</v>
      </c>
    </row>
    <row r="10" spans="1:9" ht="22.15" customHeight="1" x14ac:dyDescent="0.25">
      <c r="A10" s="290" t="s">
        <v>184</v>
      </c>
      <c r="B10" s="291"/>
      <c r="C10" s="292"/>
      <c r="D10" s="293"/>
      <c r="E10" s="293"/>
      <c r="F10" s="294"/>
      <c r="G10" s="295"/>
      <c r="H10" s="296"/>
      <c r="I10" s="295"/>
    </row>
    <row r="11" spans="1:9" ht="18" x14ac:dyDescent="0.25">
      <c r="A11" s="297" t="s">
        <v>185</v>
      </c>
      <c r="B11" s="298">
        <v>1</v>
      </c>
      <c r="C11" s="299">
        <f>D11*B6</f>
        <v>0</v>
      </c>
      <c r="D11" s="300"/>
      <c r="E11" s="301"/>
      <c r="F11" s="302"/>
      <c r="G11" s="295"/>
      <c r="H11" s="296"/>
      <c r="I11" s="295"/>
    </row>
    <row r="12" spans="1:9" ht="18" x14ac:dyDescent="0.25">
      <c r="A12" s="297" t="s">
        <v>186</v>
      </c>
      <c r="B12" s="298">
        <v>1</v>
      </c>
      <c r="C12" s="299">
        <f>D12*B6</f>
        <v>0</v>
      </c>
      <c r="D12" s="300"/>
      <c r="E12" s="301"/>
      <c r="F12" s="302"/>
      <c r="G12" s="295"/>
      <c r="H12" s="296"/>
      <c r="I12" s="295"/>
    </row>
    <row r="13" spans="1:9" ht="22.15" customHeight="1" x14ac:dyDescent="0.25">
      <c r="A13" s="297" t="s">
        <v>187</v>
      </c>
      <c r="B13" s="298">
        <v>1</v>
      </c>
      <c r="C13" s="299">
        <f>D13*B6</f>
        <v>0</v>
      </c>
      <c r="D13" s="300"/>
      <c r="E13" s="301"/>
      <c r="F13" s="303"/>
      <c r="G13" s="295"/>
      <c r="H13" s="296"/>
      <c r="I13" s="295"/>
    </row>
    <row r="14" spans="1:9" ht="22.15" customHeight="1" x14ac:dyDescent="0.25">
      <c r="A14" s="304" t="s">
        <v>106</v>
      </c>
      <c r="B14" s="305"/>
      <c r="C14" s="306">
        <f>SUM(C11:C13)</f>
        <v>0</v>
      </c>
      <c r="D14" s="306"/>
      <c r="E14" s="307"/>
      <c r="F14" s="308"/>
      <c r="G14" s="308"/>
      <c r="H14" s="308"/>
      <c r="I14" s="305"/>
    </row>
    <row r="15" spans="1:9" ht="22.15" customHeight="1" x14ac:dyDescent="0.25">
      <c r="A15" s="297"/>
      <c r="B15" s="309"/>
      <c r="C15" s="310"/>
      <c r="D15" s="311"/>
      <c r="E15" s="311"/>
      <c r="F15" s="303"/>
      <c r="G15" s="312"/>
      <c r="H15" s="313"/>
      <c r="I15" s="313"/>
    </row>
    <row r="16" spans="1:9" ht="22.15" customHeight="1" x14ac:dyDescent="0.25">
      <c r="A16" s="314" t="s">
        <v>188</v>
      </c>
      <c r="B16" s="309"/>
      <c r="C16" s="315"/>
      <c r="D16" s="316"/>
      <c r="E16" s="316"/>
      <c r="F16" s="303"/>
      <c r="G16" s="312"/>
      <c r="H16" s="313"/>
      <c r="I16" s="313"/>
    </row>
    <row r="17" spans="1:9" ht="22.15" customHeight="1" x14ac:dyDescent="0.25">
      <c r="A17" s="297" t="s">
        <v>189</v>
      </c>
      <c r="B17" s="317">
        <v>1</v>
      </c>
      <c r="C17" s="318">
        <f>D17*$B$6</f>
        <v>0</v>
      </c>
      <c r="D17" s="300"/>
      <c r="E17" s="301"/>
      <c r="F17" s="303" t="s">
        <v>190</v>
      </c>
      <c r="G17" s="312"/>
      <c r="H17" s="313"/>
      <c r="I17" s="313"/>
    </row>
    <row r="18" spans="1:9" ht="22.15" customHeight="1" x14ac:dyDescent="0.25">
      <c r="A18" s="297" t="s">
        <v>191</v>
      </c>
      <c r="B18" s="317">
        <v>1</v>
      </c>
      <c r="C18" s="318">
        <f>D18*$B$6</f>
        <v>0</v>
      </c>
      <c r="D18" s="300"/>
      <c r="E18" s="301"/>
      <c r="F18" s="303"/>
      <c r="G18" s="312"/>
      <c r="H18" s="313"/>
      <c r="I18" s="313"/>
    </row>
    <row r="19" spans="1:9" ht="22.15" customHeight="1" x14ac:dyDescent="0.25">
      <c r="A19" s="297" t="s">
        <v>192</v>
      </c>
      <c r="B19" s="317">
        <v>1</v>
      </c>
      <c r="C19" s="318">
        <f t="shared" ref="C19:C24" si="0">D19*$B$6</f>
        <v>0</v>
      </c>
      <c r="D19" s="300"/>
      <c r="E19" s="301"/>
      <c r="F19" s="303"/>
      <c r="G19" s="312"/>
      <c r="H19" s="313"/>
      <c r="I19" s="313"/>
    </row>
    <row r="20" spans="1:9" ht="22.15" customHeight="1" x14ac:dyDescent="0.25">
      <c r="A20" s="297" t="s">
        <v>193</v>
      </c>
      <c r="B20" s="317">
        <v>1</v>
      </c>
      <c r="C20" s="318">
        <f t="shared" si="0"/>
        <v>0</v>
      </c>
      <c r="D20" s="300"/>
      <c r="E20" s="301"/>
      <c r="F20" s="303"/>
      <c r="G20" s="312"/>
      <c r="H20" s="313"/>
      <c r="I20" s="313"/>
    </row>
    <row r="21" spans="1:9" ht="22.15" customHeight="1" x14ac:dyDescent="0.25">
      <c r="A21" s="297" t="s">
        <v>194</v>
      </c>
      <c r="B21" s="317">
        <v>1</v>
      </c>
      <c r="C21" s="318">
        <f t="shared" si="0"/>
        <v>0</v>
      </c>
      <c r="D21" s="300"/>
      <c r="E21" s="301"/>
      <c r="F21" s="303"/>
      <c r="G21" s="312"/>
      <c r="H21" s="313"/>
      <c r="I21" s="313"/>
    </row>
    <row r="22" spans="1:9" ht="22.15" customHeight="1" x14ac:dyDescent="0.25">
      <c r="A22" s="297" t="s">
        <v>195</v>
      </c>
      <c r="B22" s="317">
        <v>1</v>
      </c>
      <c r="C22" s="318">
        <f t="shared" si="0"/>
        <v>0</v>
      </c>
      <c r="D22" s="300"/>
      <c r="E22" s="301"/>
      <c r="F22" s="303"/>
      <c r="G22" s="312"/>
      <c r="H22" s="313"/>
      <c r="I22" s="313"/>
    </row>
    <row r="23" spans="1:9" ht="22.15" customHeight="1" x14ac:dyDescent="0.25">
      <c r="A23" s="297" t="s">
        <v>196</v>
      </c>
      <c r="B23" s="317">
        <v>1</v>
      </c>
      <c r="C23" s="318">
        <f t="shared" si="0"/>
        <v>0</v>
      </c>
      <c r="D23" s="300"/>
      <c r="E23" s="301"/>
      <c r="F23" s="303"/>
      <c r="G23" s="312"/>
      <c r="H23" s="313"/>
      <c r="I23" s="313"/>
    </row>
    <row r="24" spans="1:9" ht="22.15" customHeight="1" x14ac:dyDescent="0.25">
      <c r="A24" s="297" t="s">
        <v>197</v>
      </c>
      <c r="B24" s="317">
        <v>1</v>
      </c>
      <c r="C24" s="318">
        <f t="shared" si="0"/>
        <v>0</v>
      </c>
      <c r="D24" s="300"/>
      <c r="E24" s="301"/>
      <c r="F24" s="303"/>
      <c r="G24" s="312"/>
      <c r="H24" s="313"/>
      <c r="I24" s="313"/>
    </row>
    <row r="25" spans="1:9" ht="22.15" customHeight="1" x14ac:dyDescent="0.25">
      <c r="A25" s="304" t="s">
        <v>106</v>
      </c>
      <c r="B25" s="319"/>
      <c r="C25" s="320">
        <f>SUM(C17:C23)</f>
        <v>0</v>
      </c>
      <c r="D25" s="320"/>
      <c r="E25" s="321"/>
      <c r="F25" s="308"/>
      <c r="G25" s="308"/>
      <c r="H25" s="308"/>
      <c r="I25" s="308"/>
    </row>
    <row r="26" spans="1:9" ht="22.15" customHeight="1" x14ac:dyDescent="0.25">
      <c r="A26" s="322"/>
      <c r="B26" s="313"/>
      <c r="C26" s="323"/>
      <c r="D26" s="303"/>
      <c r="E26" s="303"/>
      <c r="F26" s="303"/>
      <c r="G26" s="312"/>
      <c r="H26" s="313"/>
      <c r="I26" s="313"/>
    </row>
    <row r="27" spans="1:9" ht="22.15" customHeight="1" x14ac:dyDescent="0.25">
      <c r="A27" s="324" t="s">
        <v>198</v>
      </c>
      <c r="B27" s="325"/>
      <c r="C27" s="326"/>
      <c r="D27" s="327"/>
      <c r="E27" s="327"/>
      <c r="F27" s="327"/>
      <c r="G27" s="326"/>
      <c r="H27" s="326"/>
      <c r="I27" s="326"/>
    </row>
    <row r="28" spans="1:9" ht="22.15" customHeight="1" x14ac:dyDescent="0.25">
      <c r="A28" s="322"/>
      <c r="B28" s="325"/>
      <c r="C28" s="328"/>
      <c r="D28" s="329"/>
      <c r="E28" s="330"/>
      <c r="F28" s="331"/>
      <c r="G28" s="326"/>
      <c r="H28" s="326"/>
      <c r="I28" s="326"/>
    </row>
    <row r="29" spans="1:9" ht="22.15" customHeight="1" x14ac:dyDescent="0.25">
      <c r="A29" s="322" t="s">
        <v>199</v>
      </c>
      <c r="B29" s="332">
        <v>4</v>
      </c>
      <c r="C29" s="333">
        <f>D29*$B$6</f>
        <v>0</v>
      </c>
      <c r="D29" s="300"/>
      <c r="E29" s="301"/>
      <c r="F29" s="331"/>
      <c r="G29" s="326"/>
      <c r="H29" s="326"/>
      <c r="I29" s="326"/>
    </row>
    <row r="30" spans="1:9" ht="22.15" customHeight="1" x14ac:dyDescent="0.25">
      <c r="A30" s="322" t="s">
        <v>200</v>
      </c>
      <c r="B30" s="332">
        <v>1</v>
      </c>
      <c r="C30" s="333">
        <f>D30*$B$6</f>
        <v>0</v>
      </c>
      <c r="D30" s="300"/>
      <c r="E30" s="301"/>
      <c r="F30" s="331"/>
      <c r="G30" s="327"/>
      <c r="H30" s="327"/>
      <c r="I30" s="326"/>
    </row>
    <row r="31" spans="1:9" ht="22.15" customHeight="1" x14ac:dyDescent="0.25">
      <c r="A31" s="334" t="s">
        <v>106</v>
      </c>
      <c r="B31" s="305"/>
      <c r="C31" s="335">
        <f>SUM(C28:C29)</f>
        <v>0</v>
      </c>
      <c r="D31" s="335"/>
      <c r="E31" s="336"/>
      <c r="F31" s="337"/>
      <c r="G31" s="337"/>
      <c r="H31" s="337"/>
      <c r="I31" s="305"/>
    </row>
    <row r="32" spans="1:9" ht="22.15" customHeight="1" x14ac:dyDescent="0.25">
      <c r="A32" s="322"/>
      <c r="B32" s="325"/>
      <c r="C32" s="326"/>
      <c r="D32" s="327"/>
      <c r="E32" s="327"/>
      <c r="F32" s="327"/>
      <c r="G32" s="313"/>
      <c r="H32" s="313"/>
      <c r="I32" s="326"/>
    </row>
    <row r="33" spans="1:322" ht="22.15" customHeight="1" x14ac:dyDescent="0.25">
      <c r="A33" s="324" t="s">
        <v>201</v>
      </c>
      <c r="B33" s="325"/>
      <c r="C33" s="326"/>
      <c r="D33" s="327"/>
      <c r="E33" s="327"/>
      <c r="F33" s="327"/>
      <c r="G33" s="313"/>
      <c r="H33" s="313"/>
      <c r="I33" s="326"/>
    </row>
    <row r="34" spans="1:322" ht="22.15" customHeight="1" x14ac:dyDescent="0.25">
      <c r="A34" s="338" t="s">
        <v>202</v>
      </c>
      <c r="B34" s="332">
        <v>3</v>
      </c>
      <c r="C34" s="333">
        <f>D34*$B$6</f>
        <v>0</v>
      </c>
      <c r="D34" s="339"/>
      <c r="E34" s="340"/>
      <c r="F34" s="341" t="s">
        <v>203</v>
      </c>
      <c r="G34" s="313"/>
      <c r="H34" s="313"/>
      <c r="I34" s="326"/>
    </row>
    <row r="35" spans="1:322" ht="22.15" customHeight="1" x14ac:dyDescent="0.25">
      <c r="A35" s="338" t="s">
        <v>204</v>
      </c>
      <c r="B35" s="342">
        <v>1</v>
      </c>
      <c r="C35" s="333">
        <f t="shared" ref="C35:C42" si="1">D35*$B$6</f>
        <v>0</v>
      </c>
      <c r="D35" s="343"/>
      <c r="E35" s="344"/>
      <c r="F35" s="341" t="s">
        <v>205</v>
      </c>
      <c r="G35" s="313"/>
      <c r="H35" s="313"/>
      <c r="I35" s="326"/>
    </row>
    <row r="36" spans="1:322" ht="22.15" customHeight="1" x14ac:dyDescent="0.25">
      <c r="A36" s="338" t="s">
        <v>206</v>
      </c>
      <c r="B36" s="345">
        <v>3</v>
      </c>
      <c r="C36" s="333">
        <f t="shared" si="1"/>
        <v>0</v>
      </c>
      <c r="D36" s="343"/>
      <c r="E36" s="344"/>
      <c r="F36" s="341" t="s">
        <v>207</v>
      </c>
      <c r="G36" s="313"/>
      <c r="H36" s="313"/>
      <c r="I36" s="326"/>
    </row>
    <row r="37" spans="1:322" ht="22.15" customHeight="1" x14ac:dyDescent="0.25">
      <c r="A37" s="338" t="s">
        <v>208</v>
      </c>
      <c r="B37" s="345">
        <v>10</v>
      </c>
      <c r="C37" s="333">
        <f t="shared" si="1"/>
        <v>0</v>
      </c>
      <c r="D37" s="343"/>
      <c r="E37" s="344"/>
      <c r="F37" s="341"/>
      <c r="G37" s="313"/>
      <c r="H37" s="313"/>
      <c r="I37" s="326"/>
    </row>
    <row r="38" spans="1:322" ht="22.15" customHeight="1" x14ac:dyDescent="0.25">
      <c r="A38" s="338" t="s">
        <v>209</v>
      </c>
      <c r="B38" s="345">
        <v>1</v>
      </c>
      <c r="C38" s="333">
        <f t="shared" si="1"/>
        <v>0</v>
      </c>
      <c r="D38" s="343"/>
      <c r="E38" s="344"/>
      <c r="F38" s="341"/>
      <c r="G38" s="313"/>
      <c r="H38" s="313"/>
      <c r="I38" s="326"/>
    </row>
    <row r="39" spans="1:322" ht="22.15" customHeight="1" x14ac:dyDescent="0.25">
      <c r="A39" s="338" t="s">
        <v>210</v>
      </c>
      <c r="B39" s="345">
        <v>4</v>
      </c>
      <c r="C39" s="333">
        <f t="shared" si="1"/>
        <v>0</v>
      </c>
      <c r="D39" s="343"/>
      <c r="E39" s="344"/>
      <c r="F39" s="341"/>
      <c r="G39" s="313"/>
      <c r="H39" s="313"/>
      <c r="I39" s="326"/>
    </row>
    <row r="40" spans="1:322" ht="22.15" customHeight="1" x14ac:dyDescent="0.25">
      <c r="A40" s="338" t="s">
        <v>211</v>
      </c>
      <c r="B40" s="345">
        <v>1</v>
      </c>
      <c r="C40" s="333">
        <f t="shared" si="1"/>
        <v>0</v>
      </c>
      <c r="D40" s="343"/>
      <c r="E40" s="344"/>
      <c r="F40" s="341" t="s">
        <v>212</v>
      </c>
      <c r="G40" s="313"/>
      <c r="H40" s="313"/>
      <c r="I40" s="326"/>
    </row>
    <row r="41" spans="1:322" ht="22.15" customHeight="1" x14ac:dyDescent="0.25">
      <c r="A41" s="338" t="s">
        <v>213</v>
      </c>
      <c r="B41" s="345">
        <v>5</v>
      </c>
      <c r="C41" s="333">
        <f t="shared" si="1"/>
        <v>0</v>
      </c>
      <c r="D41" s="343"/>
      <c r="E41" s="344"/>
      <c r="F41" s="341"/>
      <c r="G41" s="313"/>
      <c r="H41" s="313"/>
      <c r="I41" s="326"/>
    </row>
    <row r="42" spans="1:322" s="348" customFormat="1" ht="22.15" customHeight="1" x14ac:dyDescent="0.25">
      <c r="A42" s="338" t="s">
        <v>214</v>
      </c>
      <c r="B42" s="345">
        <v>10</v>
      </c>
      <c r="C42" s="333">
        <f t="shared" si="1"/>
        <v>0</v>
      </c>
      <c r="D42" s="343"/>
      <c r="E42" s="344"/>
      <c r="F42" s="346" t="s">
        <v>215</v>
      </c>
      <c r="G42" s="347"/>
      <c r="H42" s="347"/>
      <c r="I42" s="324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  <c r="AA42" s="268"/>
      <c r="AB42" s="268"/>
      <c r="AC42" s="268"/>
      <c r="AD42" s="268"/>
      <c r="AE42" s="268"/>
      <c r="AF42" s="268"/>
      <c r="AG42" s="268"/>
      <c r="AH42" s="268"/>
      <c r="AI42" s="268"/>
      <c r="AJ42" s="268"/>
      <c r="AK42" s="268"/>
      <c r="AL42" s="268"/>
      <c r="AM42" s="268"/>
      <c r="AN42" s="268"/>
      <c r="AO42" s="268"/>
      <c r="AP42" s="268"/>
      <c r="AQ42" s="268"/>
      <c r="AR42" s="268"/>
      <c r="AS42" s="268"/>
      <c r="AT42" s="268"/>
      <c r="AU42" s="268"/>
      <c r="AV42" s="268"/>
      <c r="AW42" s="268"/>
      <c r="AX42" s="268"/>
      <c r="AY42" s="268"/>
      <c r="AZ42" s="268"/>
      <c r="BA42" s="268"/>
      <c r="BB42" s="268"/>
      <c r="BC42" s="268"/>
      <c r="BD42" s="268"/>
      <c r="BE42" s="268"/>
      <c r="BF42" s="268"/>
      <c r="BG42" s="268"/>
      <c r="BH42" s="268"/>
      <c r="BI42" s="268"/>
      <c r="BJ42" s="268"/>
      <c r="BK42" s="268"/>
      <c r="BL42" s="268"/>
      <c r="BM42" s="268"/>
      <c r="BN42" s="268"/>
      <c r="BO42" s="268"/>
      <c r="BP42" s="268"/>
      <c r="BQ42" s="268"/>
      <c r="BR42" s="268"/>
      <c r="BS42" s="268"/>
      <c r="BT42" s="268"/>
      <c r="BU42" s="268"/>
      <c r="BV42" s="268"/>
      <c r="BW42" s="268"/>
      <c r="BX42" s="268"/>
      <c r="BY42" s="268"/>
      <c r="BZ42" s="268"/>
      <c r="CA42" s="268"/>
      <c r="CB42" s="268"/>
      <c r="CC42" s="268"/>
      <c r="CD42" s="268"/>
      <c r="CE42" s="268"/>
      <c r="CF42" s="268"/>
      <c r="CG42" s="268"/>
      <c r="CH42" s="268"/>
      <c r="CI42" s="268"/>
      <c r="CJ42" s="268"/>
      <c r="CK42" s="268"/>
      <c r="CL42" s="268"/>
      <c r="CM42" s="268"/>
      <c r="CN42" s="268"/>
      <c r="CO42" s="268"/>
      <c r="CP42" s="268"/>
      <c r="CQ42" s="268"/>
      <c r="CR42" s="268"/>
      <c r="CS42" s="268"/>
      <c r="CT42" s="268"/>
      <c r="CU42" s="268"/>
      <c r="CV42" s="268"/>
      <c r="CW42" s="268"/>
      <c r="CX42" s="268"/>
      <c r="CY42" s="268"/>
      <c r="CZ42" s="268"/>
      <c r="DA42" s="268"/>
      <c r="DB42" s="268"/>
      <c r="DC42" s="268"/>
      <c r="DD42" s="268"/>
      <c r="DE42" s="268"/>
      <c r="DF42" s="268"/>
      <c r="DG42" s="268"/>
      <c r="DH42" s="268"/>
      <c r="DI42" s="268"/>
      <c r="DJ42" s="268"/>
      <c r="DK42" s="268"/>
      <c r="DL42" s="268"/>
      <c r="DM42" s="268"/>
      <c r="DN42" s="268"/>
      <c r="DO42" s="268"/>
      <c r="DP42" s="268"/>
      <c r="DQ42" s="268"/>
      <c r="DR42" s="268"/>
      <c r="DS42" s="268"/>
      <c r="DT42" s="268"/>
      <c r="DU42" s="268"/>
      <c r="DV42" s="268"/>
      <c r="DW42" s="268"/>
      <c r="DX42" s="268"/>
      <c r="DY42" s="268"/>
      <c r="DZ42" s="268"/>
      <c r="EA42" s="268"/>
      <c r="EB42" s="268"/>
      <c r="EC42" s="268"/>
      <c r="ED42" s="268"/>
      <c r="EE42" s="268"/>
      <c r="EF42" s="268"/>
      <c r="EG42" s="268"/>
      <c r="EH42" s="268"/>
      <c r="EI42" s="268"/>
      <c r="EJ42" s="268"/>
      <c r="EK42" s="268"/>
      <c r="EL42" s="268"/>
      <c r="EM42" s="268"/>
      <c r="EN42" s="268"/>
      <c r="EO42" s="268"/>
      <c r="EP42" s="268"/>
      <c r="EQ42" s="268"/>
      <c r="ER42" s="268"/>
      <c r="ES42" s="268"/>
      <c r="ET42" s="268"/>
      <c r="EU42" s="268"/>
      <c r="EV42" s="268"/>
      <c r="EW42" s="268"/>
      <c r="EX42" s="268"/>
      <c r="EY42" s="268"/>
      <c r="EZ42" s="268"/>
      <c r="FA42" s="268"/>
      <c r="FB42" s="268"/>
      <c r="FC42" s="268"/>
      <c r="FD42" s="268"/>
      <c r="FE42" s="268"/>
      <c r="FF42" s="268"/>
      <c r="FG42" s="268"/>
      <c r="FH42" s="268"/>
      <c r="FI42" s="268"/>
      <c r="FJ42" s="268"/>
      <c r="FK42" s="268"/>
      <c r="FL42" s="268"/>
      <c r="FM42" s="268"/>
      <c r="FN42" s="268"/>
      <c r="FO42" s="268"/>
      <c r="FP42" s="268"/>
      <c r="FQ42" s="268"/>
      <c r="FR42" s="268"/>
      <c r="FS42" s="268"/>
      <c r="FT42" s="268"/>
      <c r="FU42" s="268"/>
      <c r="FV42" s="268"/>
      <c r="FW42" s="268"/>
      <c r="FX42" s="268"/>
      <c r="FY42" s="268"/>
      <c r="FZ42" s="268"/>
      <c r="GA42" s="268"/>
      <c r="GB42" s="268"/>
      <c r="GC42" s="268"/>
      <c r="GD42" s="268"/>
      <c r="GE42" s="268"/>
      <c r="GF42" s="268"/>
      <c r="GG42" s="268"/>
      <c r="GH42" s="268"/>
      <c r="GI42" s="268"/>
      <c r="GJ42" s="268"/>
      <c r="GK42" s="268"/>
      <c r="GL42" s="268"/>
      <c r="GM42" s="268"/>
      <c r="GN42" s="268"/>
      <c r="GO42" s="268"/>
      <c r="GP42" s="268"/>
      <c r="GQ42" s="268"/>
      <c r="GR42" s="268"/>
      <c r="GS42" s="268"/>
      <c r="GT42" s="268"/>
      <c r="GU42" s="268"/>
      <c r="GV42" s="268"/>
      <c r="GW42" s="268"/>
      <c r="GX42" s="268"/>
      <c r="GY42" s="268"/>
      <c r="GZ42" s="268"/>
      <c r="HA42" s="268"/>
      <c r="HB42" s="268"/>
      <c r="HC42" s="268"/>
      <c r="HD42" s="268"/>
      <c r="HE42" s="268"/>
      <c r="HF42" s="268"/>
      <c r="HG42" s="268"/>
      <c r="HH42" s="268"/>
      <c r="HI42" s="268"/>
      <c r="HJ42" s="268"/>
      <c r="HK42" s="268"/>
      <c r="HL42" s="268"/>
      <c r="HM42" s="268"/>
      <c r="HN42" s="268"/>
      <c r="HO42" s="268"/>
      <c r="HP42" s="268"/>
      <c r="HQ42" s="268"/>
      <c r="HR42" s="268"/>
      <c r="HS42" s="268"/>
      <c r="HT42" s="268"/>
      <c r="HU42" s="268"/>
      <c r="HV42" s="268"/>
      <c r="HW42" s="268"/>
      <c r="HX42" s="268"/>
      <c r="HY42" s="268"/>
      <c r="HZ42" s="268"/>
      <c r="IA42" s="268"/>
      <c r="IB42" s="268"/>
      <c r="IC42" s="268"/>
      <c r="ID42" s="268"/>
      <c r="IE42" s="268"/>
      <c r="IF42" s="268"/>
      <c r="IG42" s="268"/>
      <c r="IH42" s="268"/>
      <c r="II42" s="268"/>
      <c r="IJ42" s="268"/>
      <c r="IK42" s="268"/>
      <c r="IL42" s="268"/>
      <c r="IM42" s="268"/>
      <c r="IN42" s="268"/>
      <c r="IO42" s="268"/>
      <c r="IP42" s="268"/>
      <c r="IQ42" s="268"/>
      <c r="IR42" s="268"/>
      <c r="IS42" s="268"/>
      <c r="IT42" s="268"/>
      <c r="IU42" s="268"/>
      <c r="IV42" s="268"/>
      <c r="IW42" s="268"/>
      <c r="IX42" s="268"/>
      <c r="IY42" s="268"/>
      <c r="IZ42" s="268"/>
      <c r="JA42" s="268"/>
      <c r="JB42" s="268"/>
      <c r="JC42" s="268"/>
      <c r="JD42" s="268"/>
      <c r="JE42" s="268"/>
      <c r="JF42" s="268"/>
      <c r="JG42" s="268"/>
      <c r="JH42" s="268"/>
      <c r="JI42" s="268"/>
      <c r="JJ42" s="268"/>
      <c r="JK42" s="268"/>
      <c r="JL42" s="268"/>
      <c r="JM42" s="268"/>
      <c r="JN42" s="268"/>
      <c r="JO42" s="268"/>
      <c r="JP42" s="268"/>
      <c r="JQ42" s="268"/>
      <c r="JR42" s="268"/>
      <c r="JS42" s="268"/>
      <c r="JT42" s="268"/>
      <c r="JU42" s="268"/>
      <c r="JV42" s="268"/>
      <c r="JW42" s="268"/>
      <c r="JX42" s="268"/>
      <c r="JY42" s="268"/>
      <c r="JZ42" s="268"/>
      <c r="KA42" s="268"/>
      <c r="KB42" s="268"/>
      <c r="KC42" s="268"/>
      <c r="KD42" s="268"/>
      <c r="KE42" s="268"/>
      <c r="KF42" s="268"/>
      <c r="KG42" s="268"/>
      <c r="KH42" s="268"/>
      <c r="KI42" s="268"/>
      <c r="KJ42" s="268"/>
      <c r="KK42" s="268"/>
      <c r="KL42" s="268"/>
      <c r="KM42" s="268"/>
      <c r="KN42" s="268"/>
      <c r="KO42" s="268"/>
      <c r="KP42" s="268"/>
      <c r="KQ42" s="268"/>
      <c r="KR42" s="268"/>
      <c r="KS42" s="268"/>
      <c r="KT42" s="268"/>
      <c r="KU42" s="268"/>
      <c r="KV42" s="268"/>
      <c r="KW42" s="268"/>
      <c r="KX42" s="268"/>
      <c r="KY42" s="268"/>
      <c r="KZ42" s="268"/>
      <c r="LA42" s="268"/>
      <c r="LB42" s="268"/>
      <c r="LC42" s="268"/>
      <c r="LD42" s="268"/>
      <c r="LE42" s="268"/>
      <c r="LF42" s="268"/>
      <c r="LG42" s="268"/>
      <c r="LH42" s="268"/>
      <c r="LI42" s="268"/>
      <c r="LJ42" s="268"/>
    </row>
    <row r="43" spans="1:322" s="351" customFormat="1" ht="22.15" customHeight="1" x14ac:dyDescent="0.25">
      <c r="A43" s="334" t="s">
        <v>106</v>
      </c>
      <c r="B43" s="305"/>
      <c r="C43" s="335">
        <f>SUM(C34:C42)</f>
        <v>0</v>
      </c>
      <c r="D43" s="335"/>
      <c r="E43" s="336"/>
      <c r="F43" s="349"/>
      <c r="G43" s="350"/>
      <c r="H43" s="350"/>
      <c r="I43" s="350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8"/>
      <c r="BK43" s="268"/>
      <c r="BL43" s="268"/>
      <c r="BM43" s="268"/>
      <c r="BN43" s="268"/>
      <c r="BO43" s="268"/>
      <c r="BP43" s="268"/>
      <c r="BQ43" s="268"/>
      <c r="BR43" s="268"/>
      <c r="BS43" s="268"/>
      <c r="BT43" s="268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268"/>
      <c r="CO43" s="268"/>
      <c r="CP43" s="268"/>
      <c r="CQ43" s="268"/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268"/>
      <c r="DI43" s="268"/>
      <c r="DJ43" s="268"/>
      <c r="DK43" s="268"/>
      <c r="DL43" s="268"/>
      <c r="DM43" s="268"/>
      <c r="DN43" s="268"/>
      <c r="DO43" s="268"/>
      <c r="DP43" s="268"/>
      <c r="DQ43" s="268"/>
      <c r="DR43" s="268"/>
      <c r="DS43" s="268"/>
      <c r="DT43" s="268"/>
      <c r="DU43" s="268"/>
      <c r="DV43" s="268"/>
      <c r="DW43" s="268"/>
      <c r="DX43" s="268"/>
      <c r="DY43" s="268"/>
      <c r="DZ43" s="268"/>
      <c r="EA43" s="268"/>
      <c r="EB43" s="268"/>
      <c r="EC43" s="268"/>
      <c r="ED43" s="268"/>
      <c r="EE43" s="268"/>
      <c r="EF43" s="268"/>
      <c r="EG43" s="268"/>
      <c r="EH43" s="268"/>
      <c r="EI43" s="268"/>
      <c r="EJ43" s="268"/>
      <c r="EK43" s="268"/>
      <c r="EL43" s="268"/>
      <c r="EM43" s="268"/>
      <c r="EN43" s="268"/>
      <c r="EO43" s="268"/>
      <c r="EP43" s="268"/>
      <c r="EQ43" s="268"/>
      <c r="ER43" s="268"/>
      <c r="ES43" s="268"/>
      <c r="ET43" s="268"/>
      <c r="EU43" s="268"/>
      <c r="EV43" s="268"/>
      <c r="EW43" s="268"/>
      <c r="EX43" s="268"/>
      <c r="EY43" s="268"/>
      <c r="EZ43" s="268"/>
      <c r="FA43" s="268"/>
      <c r="FB43" s="268"/>
      <c r="FC43" s="268"/>
      <c r="FD43" s="268"/>
      <c r="FE43" s="268"/>
      <c r="FF43" s="268"/>
      <c r="FG43" s="268"/>
      <c r="FH43" s="268"/>
      <c r="FI43" s="268"/>
      <c r="FJ43" s="268"/>
      <c r="FK43" s="268"/>
      <c r="FL43" s="268"/>
      <c r="FM43" s="268"/>
      <c r="FN43" s="268"/>
      <c r="FO43" s="268"/>
      <c r="FP43" s="268"/>
      <c r="FQ43" s="268"/>
      <c r="FR43" s="268"/>
      <c r="FS43" s="268"/>
      <c r="FT43" s="268"/>
      <c r="FU43" s="268"/>
      <c r="FV43" s="268"/>
      <c r="FW43" s="268"/>
      <c r="FX43" s="268"/>
      <c r="FY43" s="268"/>
      <c r="FZ43" s="268"/>
      <c r="GA43" s="268"/>
      <c r="GB43" s="268"/>
      <c r="GC43" s="268"/>
      <c r="GD43" s="268"/>
      <c r="GE43" s="268"/>
      <c r="GF43" s="268"/>
      <c r="GG43" s="268"/>
      <c r="GH43" s="268"/>
      <c r="GI43" s="268"/>
      <c r="GJ43" s="268"/>
      <c r="GK43" s="268"/>
      <c r="GL43" s="268"/>
      <c r="GM43" s="268"/>
      <c r="GN43" s="268"/>
      <c r="GO43" s="268"/>
      <c r="GP43" s="268"/>
      <c r="GQ43" s="268"/>
      <c r="GR43" s="268"/>
      <c r="GS43" s="268"/>
      <c r="GT43" s="268"/>
      <c r="GU43" s="268"/>
      <c r="GV43" s="268"/>
      <c r="GW43" s="268"/>
      <c r="GX43" s="268"/>
      <c r="GY43" s="268"/>
      <c r="GZ43" s="268"/>
      <c r="HA43" s="268"/>
      <c r="HB43" s="268"/>
      <c r="HC43" s="268"/>
      <c r="HD43" s="268"/>
      <c r="HE43" s="268"/>
      <c r="HF43" s="268"/>
      <c r="HG43" s="268"/>
      <c r="HH43" s="268"/>
      <c r="HI43" s="268"/>
      <c r="HJ43" s="268"/>
      <c r="HK43" s="268"/>
      <c r="HL43" s="268"/>
      <c r="HM43" s="268"/>
      <c r="HN43" s="268"/>
      <c r="HO43" s="268"/>
      <c r="HP43" s="268"/>
      <c r="HQ43" s="268"/>
      <c r="HR43" s="268"/>
      <c r="HS43" s="268"/>
      <c r="HT43" s="268"/>
      <c r="HU43" s="268"/>
      <c r="HV43" s="268"/>
      <c r="HW43" s="268"/>
      <c r="HX43" s="268"/>
      <c r="HY43" s="268"/>
      <c r="HZ43" s="268"/>
      <c r="IA43" s="268"/>
      <c r="IB43" s="268"/>
      <c r="IC43" s="268"/>
      <c r="ID43" s="268"/>
      <c r="IE43" s="268"/>
      <c r="IF43" s="268"/>
      <c r="IG43" s="268"/>
      <c r="IH43" s="268"/>
      <c r="II43" s="268"/>
      <c r="IJ43" s="268"/>
      <c r="IK43" s="268"/>
      <c r="IL43" s="268"/>
      <c r="IM43" s="268"/>
      <c r="IN43" s="268"/>
      <c r="IO43" s="268"/>
      <c r="IP43" s="268"/>
      <c r="IQ43" s="268"/>
      <c r="IR43" s="268"/>
      <c r="IS43" s="268"/>
      <c r="IT43" s="268"/>
      <c r="IU43" s="268"/>
      <c r="IV43" s="268"/>
      <c r="IW43" s="268"/>
      <c r="IX43" s="268"/>
      <c r="IY43" s="268"/>
      <c r="IZ43" s="268"/>
      <c r="JA43" s="268"/>
      <c r="JB43" s="268"/>
      <c r="JC43" s="268"/>
      <c r="JD43" s="268"/>
      <c r="JE43" s="268"/>
      <c r="JF43" s="268"/>
      <c r="JG43" s="268"/>
      <c r="JH43" s="268"/>
      <c r="JI43" s="268"/>
      <c r="JJ43" s="268"/>
      <c r="JK43" s="268"/>
      <c r="JL43" s="268"/>
      <c r="JM43" s="268"/>
      <c r="JN43" s="268"/>
      <c r="JO43" s="268"/>
      <c r="JP43" s="268"/>
      <c r="JQ43" s="268"/>
      <c r="JR43" s="268"/>
      <c r="JS43" s="268"/>
      <c r="JT43" s="268"/>
      <c r="JU43" s="268"/>
      <c r="JV43" s="268"/>
      <c r="JW43" s="268"/>
      <c r="JX43" s="268"/>
      <c r="JY43" s="268"/>
      <c r="JZ43" s="268"/>
      <c r="KA43" s="268"/>
      <c r="KB43" s="268"/>
      <c r="KC43" s="268"/>
      <c r="KD43" s="268"/>
      <c r="KE43" s="268"/>
      <c r="KF43" s="268"/>
      <c r="KG43" s="268"/>
      <c r="KH43" s="268"/>
      <c r="KI43" s="268"/>
      <c r="KJ43" s="268"/>
      <c r="KK43" s="268"/>
      <c r="KL43" s="268"/>
      <c r="KM43" s="268"/>
      <c r="KN43" s="268"/>
      <c r="KO43" s="268"/>
      <c r="KP43" s="268"/>
      <c r="KQ43" s="268"/>
      <c r="KR43" s="268"/>
      <c r="KS43" s="268"/>
      <c r="KT43" s="268"/>
      <c r="KU43" s="268"/>
      <c r="KV43" s="268"/>
      <c r="KW43" s="268"/>
      <c r="KX43" s="268"/>
      <c r="KY43" s="268"/>
      <c r="KZ43" s="268"/>
      <c r="LA43" s="268"/>
      <c r="LB43" s="268"/>
      <c r="LC43" s="268"/>
      <c r="LD43" s="268"/>
      <c r="LE43" s="268"/>
      <c r="LF43" s="268"/>
      <c r="LG43" s="268"/>
      <c r="LH43" s="268"/>
      <c r="LI43" s="268"/>
      <c r="LJ43" s="268"/>
    </row>
    <row r="44" spans="1:322" s="348" customFormat="1" ht="22.15" customHeight="1" x14ac:dyDescent="0.25">
      <c r="A44" s="322"/>
      <c r="B44" s="352"/>
      <c r="C44" s="322"/>
      <c r="D44" s="322"/>
      <c r="E44" s="322"/>
      <c r="F44" s="353"/>
      <c r="G44" s="322"/>
      <c r="H44" s="322"/>
      <c r="I44" s="322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  <c r="BG44" s="268"/>
      <c r="BH44" s="268"/>
      <c r="BI44" s="268"/>
      <c r="BJ44" s="268"/>
      <c r="BK44" s="268"/>
      <c r="BL44" s="268"/>
      <c r="BM44" s="268"/>
      <c r="BN44" s="268"/>
      <c r="BO44" s="268"/>
      <c r="BP44" s="268"/>
      <c r="BQ44" s="268"/>
      <c r="BR44" s="268"/>
      <c r="BS44" s="268"/>
      <c r="BT44" s="268"/>
      <c r="BU44" s="268"/>
      <c r="BV44" s="268"/>
      <c r="BW44" s="268"/>
      <c r="BX44" s="268"/>
      <c r="BY44" s="268"/>
      <c r="BZ44" s="268"/>
      <c r="CA44" s="268"/>
      <c r="CB44" s="268"/>
      <c r="CC44" s="268"/>
      <c r="CD44" s="268"/>
      <c r="CE44" s="268"/>
      <c r="CF44" s="268"/>
      <c r="CG44" s="268"/>
      <c r="CH44" s="268"/>
      <c r="CI44" s="268"/>
      <c r="CJ44" s="268"/>
      <c r="CK44" s="268"/>
      <c r="CL44" s="268"/>
      <c r="CM44" s="268"/>
      <c r="CN44" s="268"/>
      <c r="CO44" s="268"/>
      <c r="CP44" s="268"/>
      <c r="CQ44" s="268"/>
      <c r="CR44" s="268"/>
      <c r="CS44" s="268"/>
      <c r="CT44" s="268"/>
      <c r="CU44" s="268"/>
      <c r="CV44" s="268"/>
      <c r="CW44" s="268"/>
      <c r="CX44" s="268"/>
      <c r="CY44" s="268"/>
      <c r="CZ44" s="268"/>
      <c r="DA44" s="268"/>
      <c r="DB44" s="268"/>
      <c r="DC44" s="268"/>
      <c r="DD44" s="268"/>
      <c r="DE44" s="268"/>
      <c r="DF44" s="268"/>
      <c r="DG44" s="268"/>
      <c r="DH44" s="268"/>
      <c r="DI44" s="268"/>
      <c r="DJ44" s="268"/>
      <c r="DK44" s="268"/>
      <c r="DL44" s="268"/>
      <c r="DM44" s="268"/>
      <c r="DN44" s="268"/>
      <c r="DO44" s="268"/>
      <c r="DP44" s="268"/>
      <c r="DQ44" s="268"/>
      <c r="DR44" s="268"/>
      <c r="DS44" s="268"/>
      <c r="DT44" s="268"/>
      <c r="DU44" s="268"/>
      <c r="DV44" s="268"/>
      <c r="DW44" s="268"/>
      <c r="DX44" s="268"/>
      <c r="DY44" s="268"/>
      <c r="DZ44" s="268"/>
      <c r="EA44" s="268"/>
      <c r="EB44" s="268"/>
      <c r="EC44" s="268"/>
      <c r="ED44" s="268"/>
      <c r="EE44" s="268"/>
      <c r="EF44" s="268"/>
      <c r="EG44" s="268"/>
      <c r="EH44" s="268"/>
      <c r="EI44" s="268"/>
      <c r="EJ44" s="268"/>
      <c r="EK44" s="268"/>
      <c r="EL44" s="268"/>
      <c r="EM44" s="268"/>
      <c r="EN44" s="268"/>
      <c r="EO44" s="268"/>
      <c r="EP44" s="268"/>
      <c r="EQ44" s="268"/>
      <c r="ER44" s="268"/>
      <c r="ES44" s="268"/>
      <c r="ET44" s="268"/>
      <c r="EU44" s="268"/>
      <c r="EV44" s="268"/>
      <c r="EW44" s="268"/>
      <c r="EX44" s="268"/>
      <c r="EY44" s="268"/>
      <c r="EZ44" s="268"/>
      <c r="FA44" s="268"/>
      <c r="FB44" s="268"/>
      <c r="FC44" s="268"/>
      <c r="FD44" s="268"/>
      <c r="FE44" s="268"/>
      <c r="FF44" s="268"/>
      <c r="FG44" s="268"/>
      <c r="FH44" s="268"/>
      <c r="FI44" s="268"/>
      <c r="FJ44" s="268"/>
      <c r="FK44" s="268"/>
      <c r="FL44" s="268"/>
      <c r="FM44" s="268"/>
      <c r="FN44" s="268"/>
      <c r="FO44" s="268"/>
      <c r="FP44" s="268"/>
      <c r="FQ44" s="268"/>
      <c r="FR44" s="268"/>
      <c r="FS44" s="268"/>
      <c r="FT44" s="268"/>
      <c r="FU44" s="268"/>
      <c r="FV44" s="268"/>
      <c r="FW44" s="268"/>
      <c r="FX44" s="268"/>
      <c r="FY44" s="268"/>
      <c r="FZ44" s="268"/>
      <c r="GA44" s="268"/>
      <c r="GB44" s="268"/>
      <c r="GC44" s="268"/>
      <c r="GD44" s="268"/>
      <c r="GE44" s="268"/>
      <c r="GF44" s="268"/>
      <c r="GG44" s="268"/>
      <c r="GH44" s="268"/>
      <c r="GI44" s="268"/>
      <c r="GJ44" s="268"/>
      <c r="GK44" s="268"/>
      <c r="GL44" s="268"/>
      <c r="GM44" s="268"/>
      <c r="GN44" s="268"/>
      <c r="GO44" s="268"/>
      <c r="GP44" s="268"/>
      <c r="GQ44" s="268"/>
      <c r="GR44" s="268"/>
      <c r="GS44" s="268"/>
      <c r="GT44" s="268"/>
      <c r="GU44" s="268"/>
      <c r="GV44" s="268"/>
      <c r="GW44" s="268"/>
      <c r="GX44" s="268"/>
      <c r="GY44" s="268"/>
      <c r="GZ44" s="268"/>
      <c r="HA44" s="268"/>
      <c r="HB44" s="268"/>
      <c r="HC44" s="268"/>
      <c r="HD44" s="268"/>
      <c r="HE44" s="268"/>
      <c r="HF44" s="268"/>
      <c r="HG44" s="268"/>
      <c r="HH44" s="268"/>
      <c r="HI44" s="268"/>
      <c r="HJ44" s="268"/>
      <c r="HK44" s="268"/>
      <c r="HL44" s="268"/>
      <c r="HM44" s="268"/>
      <c r="HN44" s="268"/>
      <c r="HO44" s="268"/>
      <c r="HP44" s="268"/>
      <c r="HQ44" s="268"/>
      <c r="HR44" s="268"/>
      <c r="HS44" s="268"/>
      <c r="HT44" s="268"/>
      <c r="HU44" s="268"/>
      <c r="HV44" s="268"/>
      <c r="HW44" s="268"/>
      <c r="HX44" s="268"/>
      <c r="HY44" s="268"/>
      <c r="HZ44" s="268"/>
      <c r="IA44" s="268"/>
      <c r="IB44" s="268"/>
      <c r="IC44" s="268"/>
      <c r="ID44" s="268"/>
      <c r="IE44" s="268"/>
      <c r="IF44" s="268"/>
      <c r="IG44" s="268"/>
      <c r="IH44" s="268"/>
      <c r="II44" s="268"/>
      <c r="IJ44" s="268"/>
      <c r="IK44" s="268"/>
      <c r="IL44" s="268"/>
      <c r="IM44" s="268"/>
      <c r="IN44" s="268"/>
      <c r="IO44" s="268"/>
      <c r="IP44" s="268"/>
      <c r="IQ44" s="268"/>
      <c r="IR44" s="268"/>
      <c r="IS44" s="268"/>
      <c r="IT44" s="268"/>
      <c r="IU44" s="268"/>
      <c r="IV44" s="268"/>
      <c r="IW44" s="268"/>
      <c r="IX44" s="268"/>
      <c r="IY44" s="268"/>
      <c r="IZ44" s="268"/>
      <c r="JA44" s="268"/>
      <c r="JB44" s="268"/>
      <c r="JC44" s="268"/>
      <c r="JD44" s="268"/>
      <c r="JE44" s="268"/>
      <c r="JF44" s="268"/>
      <c r="JG44" s="268"/>
      <c r="JH44" s="268"/>
      <c r="JI44" s="268"/>
      <c r="JJ44" s="268"/>
      <c r="JK44" s="268"/>
      <c r="JL44" s="268"/>
      <c r="JM44" s="268"/>
      <c r="JN44" s="268"/>
      <c r="JO44" s="268"/>
      <c r="JP44" s="268"/>
      <c r="JQ44" s="268"/>
      <c r="JR44" s="268"/>
      <c r="JS44" s="268"/>
      <c r="JT44" s="268"/>
      <c r="JU44" s="268"/>
      <c r="JV44" s="268"/>
      <c r="JW44" s="268"/>
      <c r="JX44" s="268"/>
      <c r="JY44" s="268"/>
      <c r="JZ44" s="268"/>
      <c r="KA44" s="268"/>
      <c r="KB44" s="268"/>
      <c r="KC44" s="268"/>
      <c r="KD44" s="268"/>
      <c r="KE44" s="268"/>
      <c r="KF44" s="268"/>
      <c r="KG44" s="268"/>
      <c r="KH44" s="268"/>
      <c r="KI44" s="268"/>
      <c r="KJ44" s="268"/>
      <c r="KK44" s="268"/>
      <c r="KL44" s="268"/>
      <c r="KM44" s="268"/>
      <c r="KN44" s="268"/>
      <c r="KO44" s="268"/>
      <c r="KP44" s="268"/>
      <c r="KQ44" s="268"/>
      <c r="KR44" s="268"/>
      <c r="KS44" s="268"/>
      <c r="KT44" s="268"/>
      <c r="KU44" s="268"/>
      <c r="KV44" s="268"/>
      <c r="KW44" s="268"/>
      <c r="KX44" s="268"/>
      <c r="KY44" s="268"/>
      <c r="KZ44" s="268"/>
      <c r="LA44" s="268"/>
      <c r="LB44" s="268"/>
      <c r="LC44" s="268"/>
      <c r="LD44" s="268"/>
      <c r="LE44" s="268"/>
      <c r="LF44" s="268"/>
      <c r="LG44" s="268"/>
      <c r="LH44" s="268"/>
      <c r="LI44" s="268"/>
      <c r="LJ44" s="268"/>
    </row>
    <row r="45" spans="1:322" s="354" customFormat="1" ht="22.15" customHeight="1" x14ac:dyDescent="0.25">
      <c r="A45" s="324" t="s">
        <v>216</v>
      </c>
      <c r="B45" s="325"/>
      <c r="C45" s="326"/>
      <c r="D45" s="327"/>
      <c r="E45" s="327"/>
      <c r="F45" s="327"/>
      <c r="G45" s="347"/>
      <c r="H45" s="347"/>
      <c r="I45" s="347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8"/>
      <c r="BJ45" s="268"/>
      <c r="BK45" s="268"/>
      <c r="BL45" s="268"/>
      <c r="BM45" s="268"/>
      <c r="BN45" s="268"/>
      <c r="BO45" s="268"/>
      <c r="BP45" s="268"/>
      <c r="BQ45" s="268"/>
      <c r="BR45" s="268"/>
      <c r="BS45" s="268"/>
      <c r="BT45" s="268"/>
      <c r="BU45" s="268"/>
      <c r="BV45" s="268"/>
      <c r="BW45" s="268"/>
      <c r="BX45" s="268"/>
      <c r="BY45" s="268"/>
      <c r="BZ45" s="268"/>
      <c r="CA45" s="268"/>
      <c r="CB45" s="268"/>
      <c r="CC45" s="268"/>
      <c r="CD45" s="268"/>
      <c r="CE45" s="268"/>
      <c r="CF45" s="268"/>
      <c r="CG45" s="268"/>
      <c r="CH45" s="268"/>
      <c r="CI45" s="268"/>
      <c r="CJ45" s="268"/>
      <c r="CK45" s="268"/>
      <c r="CL45" s="268"/>
      <c r="CM45" s="268"/>
      <c r="CN45" s="268"/>
      <c r="CO45" s="268"/>
      <c r="CP45" s="268"/>
      <c r="CQ45" s="268"/>
      <c r="CR45" s="268"/>
      <c r="CS45" s="268"/>
      <c r="CT45" s="268"/>
      <c r="CU45" s="268"/>
      <c r="CV45" s="268"/>
      <c r="CW45" s="268"/>
      <c r="CX45" s="268"/>
      <c r="CY45" s="268"/>
      <c r="CZ45" s="268"/>
      <c r="DA45" s="268"/>
      <c r="DB45" s="268"/>
      <c r="DC45" s="268"/>
      <c r="DD45" s="268"/>
      <c r="DE45" s="268"/>
      <c r="DF45" s="268"/>
      <c r="DG45" s="268"/>
      <c r="DH45" s="268"/>
      <c r="DI45" s="268"/>
      <c r="DJ45" s="268"/>
      <c r="DK45" s="268"/>
      <c r="DL45" s="268"/>
      <c r="DM45" s="268"/>
      <c r="DN45" s="268"/>
      <c r="DO45" s="268"/>
      <c r="DP45" s="268"/>
      <c r="DQ45" s="268"/>
      <c r="DR45" s="268"/>
      <c r="DS45" s="268"/>
      <c r="DT45" s="268"/>
      <c r="DU45" s="268"/>
      <c r="DV45" s="268"/>
      <c r="DW45" s="268"/>
      <c r="DX45" s="268"/>
      <c r="DY45" s="268"/>
      <c r="DZ45" s="268"/>
      <c r="EA45" s="268"/>
      <c r="EB45" s="268"/>
      <c r="EC45" s="268"/>
      <c r="ED45" s="268"/>
      <c r="EE45" s="268"/>
      <c r="EF45" s="268"/>
      <c r="EG45" s="268"/>
      <c r="EH45" s="268"/>
      <c r="EI45" s="268"/>
      <c r="EJ45" s="268"/>
      <c r="EK45" s="268"/>
      <c r="EL45" s="268"/>
      <c r="EM45" s="268"/>
      <c r="EN45" s="268"/>
      <c r="EO45" s="268"/>
      <c r="EP45" s="268"/>
      <c r="EQ45" s="268"/>
      <c r="ER45" s="268"/>
      <c r="ES45" s="268"/>
      <c r="ET45" s="268"/>
      <c r="EU45" s="268"/>
      <c r="EV45" s="268"/>
      <c r="EW45" s="268"/>
      <c r="EX45" s="268"/>
      <c r="EY45" s="268"/>
      <c r="EZ45" s="268"/>
      <c r="FA45" s="268"/>
      <c r="FB45" s="268"/>
      <c r="FC45" s="268"/>
      <c r="FD45" s="268"/>
      <c r="FE45" s="268"/>
      <c r="FF45" s="268"/>
      <c r="FG45" s="268"/>
      <c r="FH45" s="268"/>
      <c r="FI45" s="268"/>
      <c r="FJ45" s="268"/>
      <c r="FK45" s="268"/>
      <c r="FL45" s="268"/>
      <c r="FM45" s="268"/>
      <c r="FN45" s="268"/>
      <c r="FO45" s="268"/>
      <c r="FP45" s="268"/>
      <c r="FQ45" s="268"/>
      <c r="FR45" s="268"/>
      <c r="FS45" s="268"/>
      <c r="FT45" s="268"/>
      <c r="FU45" s="268"/>
      <c r="FV45" s="268"/>
      <c r="FW45" s="268"/>
      <c r="FX45" s="268"/>
      <c r="FY45" s="268"/>
      <c r="FZ45" s="268"/>
      <c r="GA45" s="268"/>
      <c r="GB45" s="268"/>
      <c r="GC45" s="268"/>
      <c r="GD45" s="268"/>
      <c r="GE45" s="268"/>
      <c r="GF45" s="268"/>
      <c r="GG45" s="268"/>
      <c r="GH45" s="268"/>
      <c r="GI45" s="268"/>
      <c r="GJ45" s="268"/>
      <c r="GK45" s="268"/>
      <c r="GL45" s="268"/>
      <c r="GM45" s="268"/>
      <c r="GN45" s="268"/>
      <c r="GO45" s="268"/>
      <c r="GP45" s="268"/>
      <c r="GQ45" s="268"/>
      <c r="GR45" s="268"/>
      <c r="GS45" s="268"/>
      <c r="GT45" s="268"/>
      <c r="GU45" s="268"/>
      <c r="GV45" s="268"/>
      <c r="GW45" s="268"/>
      <c r="GX45" s="268"/>
      <c r="GY45" s="268"/>
      <c r="GZ45" s="268"/>
      <c r="HA45" s="268"/>
      <c r="HB45" s="268"/>
      <c r="HC45" s="268"/>
      <c r="HD45" s="268"/>
      <c r="HE45" s="268"/>
      <c r="HF45" s="268"/>
      <c r="HG45" s="268"/>
      <c r="HH45" s="268"/>
      <c r="HI45" s="268"/>
      <c r="HJ45" s="268"/>
      <c r="HK45" s="268"/>
      <c r="HL45" s="268"/>
      <c r="HM45" s="268"/>
      <c r="HN45" s="268"/>
      <c r="HO45" s="268"/>
      <c r="HP45" s="268"/>
      <c r="HQ45" s="268"/>
      <c r="HR45" s="268"/>
      <c r="HS45" s="268"/>
      <c r="HT45" s="268"/>
      <c r="HU45" s="268"/>
      <c r="HV45" s="268"/>
      <c r="HW45" s="268"/>
      <c r="HX45" s="268"/>
      <c r="HY45" s="268"/>
      <c r="HZ45" s="268"/>
      <c r="IA45" s="268"/>
      <c r="IB45" s="268"/>
      <c r="IC45" s="268"/>
      <c r="ID45" s="268"/>
      <c r="IE45" s="268"/>
      <c r="IF45" s="268"/>
      <c r="IG45" s="268"/>
      <c r="IH45" s="268"/>
      <c r="II45" s="268"/>
      <c r="IJ45" s="268"/>
      <c r="IK45" s="268"/>
      <c r="IL45" s="268"/>
      <c r="IM45" s="268"/>
      <c r="IN45" s="268"/>
      <c r="IO45" s="268"/>
      <c r="IP45" s="268"/>
      <c r="IQ45" s="268"/>
      <c r="IR45" s="268"/>
      <c r="IS45" s="268"/>
      <c r="IT45" s="268"/>
      <c r="IU45" s="268"/>
      <c r="IV45" s="268"/>
      <c r="IW45" s="268"/>
      <c r="IX45" s="268"/>
      <c r="IY45" s="268"/>
      <c r="IZ45" s="268"/>
      <c r="JA45" s="268"/>
      <c r="JB45" s="268"/>
      <c r="JC45" s="268"/>
      <c r="JD45" s="268"/>
      <c r="JE45" s="268"/>
      <c r="JF45" s="268"/>
      <c r="JG45" s="268"/>
      <c r="JH45" s="268"/>
      <c r="JI45" s="268"/>
      <c r="JJ45" s="268"/>
      <c r="JK45" s="268"/>
      <c r="JL45" s="268"/>
      <c r="JM45" s="268"/>
      <c r="JN45" s="268"/>
      <c r="JO45" s="268"/>
      <c r="JP45" s="268"/>
      <c r="JQ45" s="268"/>
      <c r="JR45" s="268"/>
      <c r="JS45" s="268"/>
      <c r="JT45" s="268"/>
      <c r="JU45" s="268"/>
      <c r="JV45" s="268"/>
      <c r="JW45" s="268"/>
      <c r="JX45" s="268"/>
      <c r="JY45" s="268"/>
      <c r="JZ45" s="268"/>
      <c r="KA45" s="268"/>
      <c r="KB45" s="268"/>
      <c r="KC45" s="268"/>
      <c r="KD45" s="268"/>
      <c r="KE45" s="268"/>
      <c r="KF45" s="268"/>
      <c r="KG45" s="268"/>
      <c r="KH45" s="268"/>
      <c r="KI45" s="268"/>
      <c r="KJ45" s="268"/>
      <c r="KK45" s="268"/>
      <c r="KL45" s="268"/>
      <c r="KM45" s="268"/>
      <c r="KN45" s="268"/>
      <c r="KO45" s="268"/>
      <c r="KP45" s="268"/>
      <c r="KQ45" s="268"/>
      <c r="KR45" s="268"/>
      <c r="KS45" s="268"/>
      <c r="KT45" s="268"/>
      <c r="KU45" s="268"/>
      <c r="KV45" s="268"/>
      <c r="KW45" s="268"/>
      <c r="KX45" s="268"/>
      <c r="KY45" s="268"/>
      <c r="KZ45" s="268"/>
      <c r="LA45" s="268"/>
      <c r="LB45" s="268"/>
      <c r="LC45" s="268"/>
      <c r="LD45" s="268"/>
      <c r="LE45" s="268"/>
      <c r="LF45" s="268"/>
      <c r="LG45" s="268"/>
      <c r="LH45" s="268"/>
      <c r="LI45" s="268"/>
      <c r="LJ45" s="268"/>
    </row>
    <row r="46" spans="1:322" s="354" customFormat="1" ht="22.15" customHeight="1" x14ac:dyDescent="0.25">
      <c r="A46" s="338" t="s">
        <v>217</v>
      </c>
      <c r="B46" s="332">
        <v>1</v>
      </c>
      <c r="C46" s="333">
        <f>D46*$B$6</f>
        <v>0</v>
      </c>
      <c r="D46" s="343"/>
      <c r="E46" s="355"/>
      <c r="F46" s="356" t="s">
        <v>218</v>
      </c>
      <c r="G46" s="322"/>
      <c r="H46" s="322"/>
      <c r="I46" s="322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8"/>
      <c r="BJ46" s="268"/>
      <c r="BK46" s="268"/>
      <c r="BL46" s="268"/>
      <c r="BM46" s="268"/>
      <c r="BN46" s="268"/>
      <c r="BO46" s="268"/>
      <c r="BP46" s="268"/>
      <c r="BQ46" s="268"/>
      <c r="BR46" s="268"/>
      <c r="BS46" s="268"/>
      <c r="BT46" s="268"/>
      <c r="BU46" s="268"/>
      <c r="BV46" s="268"/>
      <c r="BW46" s="268"/>
      <c r="BX46" s="268"/>
      <c r="BY46" s="268"/>
      <c r="BZ46" s="268"/>
      <c r="CA46" s="268"/>
      <c r="CB46" s="268"/>
      <c r="CC46" s="268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8"/>
      <c r="CO46" s="268"/>
      <c r="CP46" s="268"/>
      <c r="CQ46" s="268"/>
      <c r="CR46" s="268"/>
      <c r="CS46" s="268"/>
      <c r="CT46" s="268"/>
      <c r="CU46" s="268"/>
      <c r="CV46" s="268"/>
      <c r="CW46" s="268"/>
      <c r="CX46" s="268"/>
      <c r="CY46" s="268"/>
      <c r="CZ46" s="268"/>
      <c r="DA46" s="268"/>
      <c r="DB46" s="268"/>
      <c r="DC46" s="268"/>
      <c r="DD46" s="268"/>
      <c r="DE46" s="268"/>
      <c r="DF46" s="268"/>
      <c r="DG46" s="268"/>
      <c r="DH46" s="268"/>
      <c r="DI46" s="268"/>
      <c r="DJ46" s="268"/>
      <c r="DK46" s="268"/>
      <c r="DL46" s="268"/>
      <c r="DM46" s="268"/>
      <c r="DN46" s="268"/>
      <c r="DO46" s="268"/>
      <c r="DP46" s="268"/>
      <c r="DQ46" s="268"/>
      <c r="DR46" s="268"/>
      <c r="DS46" s="268"/>
      <c r="DT46" s="268"/>
      <c r="DU46" s="268"/>
      <c r="DV46" s="268"/>
      <c r="DW46" s="268"/>
      <c r="DX46" s="268"/>
      <c r="DY46" s="268"/>
      <c r="DZ46" s="268"/>
      <c r="EA46" s="268"/>
      <c r="EB46" s="268"/>
      <c r="EC46" s="268"/>
      <c r="ED46" s="268"/>
      <c r="EE46" s="268"/>
      <c r="EF46" s="268"/>
      <c r="EG46" s="268"/>
      <c r="EH46" s="268"/>
      <c r="EI46" s="268"/>
      <c r="EJ46" s="268"/>
      <c r="EK46" s="268"/>
      <c r="EL46" s="268"/>
      <c r="EM46" s="268"/>
      <c r="EN46" s="268"/>
      <c r="EO46" s="268"/>
      <c r="EP46" s="268"/>
      <c r="EQ46" s="268"/>
      <c r="ER46" s="268"/>
      <c r="ES46" s="268"/>
      <c r="ET46" s="268"/>
      <c r="EU46" s="268"/>
      <c r="EV46" s="268"/>
      <c r="EW46" s="268"/>
      <c r="EX46" s="268"/>
      <c r="EY46" s="268"/>
      <c r="EZ46" s="268"/>
      <c r="FA46" s="268"/>
      <c r="FB46" s="268"/>
      <c r="FC46" s="268"/>
      <c r="FD46" s="268"/>
      <c r="FE46" s="268"/>
      <c r="FF46" s="268"/>
      <c r="FG46" s="268"/>
      <c r="FH46" s="268"/>
      <c r="FI46" s="268"/>
      <c r="FJ46" s="268"/>
      <c r="FK46" s="268"/>
      <c r="FL46" s="268"/>
      <c r="FM46" s="268"/>
      <c r="FN46" s="268"/>
      <c r="FO46" s="268"/>
      <c r="FP46" s="268"/>
      <c r="FQ46" s="268"/>
      <c r="FR46" s="268"/>
      <c r="FS46" s="268"/>
      <c r="FT46" s="268"/>
      <c r="FU46" s="268"/>
      <c r="FV46" s="268"/>
      <c r="FW46" s="268"/>
      <c r="FX46" s="268"/>
      <c r="FY46" s="268"/>
      <c r="FZ46" s="268"/>
      <c r="GA46" s="268"/>
      <c r="GB46" s="268"/>
      <c r="GC46" s="268"/>
      <c r="GD46" s="268"/>
      <c r="GE46" s="268"/>
      <c r="GF46" s="268"/>
      <c r="GG46" s="268"/>
      <c r="GH46" s="268"/>
      <c r="GI46" s="268"/>
      <c r="GJ46" s="268"/>
      <c r="GK46" s="268"/>
      <c r="GL46" s="268"/>
      <c r="GM46" s="268"/>
      <c r="GN46" s="268"/>
      <c r="GO46" s="268"/>
      <c r="GP46" s="268"/>
      <c r="GQ46" s="268"/>
      <c r="GR46" s="268"/>
      <c r="GS46" s="268"/>
      <c r="GT46" s="268"/>
      <c r="GU46" s="268"/>
      <c r="GV46" s="268"/>
      <c r="GW46" s="268"/>
      <c r="GX46" s="268"/>
      <c r="GY46" s="268"/>
      <c r="GZ46" s="268"/>
      <c r="HA46" s="268"/>
      <c r="HB46" s="268"/>
      <c r="HC46" s="268"/>
      <c r="HD46" s="268"/>
      <c r="HE46" s="268"/>
      <c r="HF46" s="268"/>
      <c r="HG46" s="268"/>
      <c r="HH46" s="268"/>
      <c r="HI46" s="268"/>
      <c r="HJ46" s="268"/>
      <c r="HK46" s="268"/>
      <c r="HL46" s="268"/>
      <c r="HM46" s="268"/>
      <c r="HN46" s="268"/>
      <c r="HO46" s="268"/>
      <c r="HP46" s="268"/>
      <c r="HQ46" s="268"/>
      <c r="HR46" s="268"/>
      <c r="HS46" s="268"/>
      <c r="HT46" s="268"/>
      <c r="HU46" s="268"/>
      <c r="HV46" s="268"/>
      <c r="HW46" s="268"/>
      <c r="HX46" s="268"/>
      <c r="HY46" s="268"/>
      <c r="HZ46" s="268"/>
      <c r="IA46" s="268"/>
      <c r="IB46" s="268"/>
      <c r="IC46" s="268"/>
      <c r="ID46" s="268"/>
      <c r="IE46" s="268"/>
      <c r="IF46" s="268"/>
      <c r="IG46" s="268"/>
      <c r="IH46" s="268"/>
      <c r="II46" s="268"/>
      <c r="IJ46" s="268"/>
      <c r="IK46" s="268"/>
      <c r="IL46" s="268"/>
      <c r="IM46" s="268"/>
      <c r="IN46" s="268"/>
      <c r="IO46" s="268"/>
      <c r="IP46" s="268"/>
      <c r="IQ46" s="268"/>
      <c r="IR46" s="268"/>
      <c r="IS46" s="268"/>
      <c r="IT46" s="268"/>
      <c r="IU46" s="268"/>
      <c r="IV46" s="268"/>
      <c r="IW46" s="268"/>
      <c r="IX46" s="268"/>
      <c r="IY46" s="268"/>
      <c r="IZ46" s="268"/>
      <c r="JA46" s="268"/>
      <c r="JB46" s="268"/>
      <c r="JC46" s="268"/>
      <c r="JD46" s="268"/>
      <c r="JE46" s="268"/>
      <c r="JF46" s="268"/>
      <c r="JG46" s="268"/>
      <c r="JH46" s="268"/>
      <c r="JI46" s="268"/>
      <c r="JJ46" s="268"/>
      <c r="JK46" s="268"/>
      <c r="JL46" s="268"/>
      <c r="JM46" s="268"/>
      <c r="JN46" s="268"/>
      <c r="JO46" s="268"/>
      <c r="JP46" s="268"/>
      <c r="JQ46" s="268"/>
      <c r="JR46" s="268"/>
      <c r="JS46" s="268"/>
      <c r="JT46" s="268"/>
      <c r="JU46" s="268"/>
      <c r="JV46" s="268"/>
      <c r="JW46" s="268"/>
      <c r="JX46" s="268"/>
      <c r="JY46" s="268"/>
      <c r="JZ46" s="268"/>
      <c r="KA46" s="268"/>
      <c r="KB46" s="268"/>
      <c r="KC46" s="268"/>
      <c r="KD46" s="268"/>
      <c r="KE46" s="268"/>
      <c r="KF46" s="268"/>
      <c r="KG46" s="268"/>
      <c r="KH46" s="268"/>
      <c r="KI46" s="268"/>
      <c r="KJ46" s="268"/>
      <c r="KK46" s="268"/>
      <c r="KL46" s="268"/>
      <c r="KM46" s="268"/>
      <c r="KN46" s="268"/>
      <c r="KO46" s="268"/>
      <c r="KP46" s="268"/>
      <c r="KQ46" s="268"/>
      <c r="KR46" s="268"/>
      <c r="KS46" s="268"/>
      <c r="KT46" s="268"/>
      <c r="KU46" s="268"/>
      <c r="KV46" s="268"/>
      <c r="KW46" s="268"/>
      <c r="KX46" s="268"/>
      <c r="KY46" s="268"/>
      <c r="KZ46" s="268"/>
      <c r="LA46" s="268"/>
      <c r="LB46" s="268"/>
      <c r="LC46" s="268"/>
      <c r="LD46" s="268"/>
      <c r="LE46" s="268"/>
      <c r="LF46" s="268"/>
      <c r="LG46" s="268"/>
      <c r="LH46" s="268"/>
      <c r="LI46" s="268"/>
      <c r="LJ46" s="268"/>
    </row>
    <row r="47" spans="1:322" s="354" customFormat="1" ht="22.15" customHeight="1" x14ac:dyDescent="0.25">
      <c r="A47" s="338" t="s">
        <v>219</v>
      </c>
      <c r="B47" s="332">
        <v>1</v>
      </c>
      <c r="C47" s="333">
        <f>D47*$B$6</f>
        <v>0</v>
      </c>
      <c r="D47" s="343"/>
      <c r="E47" s="355"/>
      <c r="F47" s="356"/>
      <c r="G47" s="322"/>
      <c r="H47" s="322"/>
      <c r="I47" s="322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8"/>
      <c r="BK47" s="268"/>
      <c r="BL47" s="268"/>
      <c r="BM47" s="268"/>
      <c r="BN47" s="268"/>
      <c r="BO47" s="268"/>
      <c r="BP47" s="268"/>
      <c r="BQ47" s="268"/>
      <c r="BR47" s="268"/>
      <c r="BS47" s="268"/>
      <c r="BT47" s="268"/>
      <c r="BU47" s="268"/>
      <c r="BV47" s="268"/>
      <c r="BW47" s="268"/>
      <c r="BX47" s="268"/>
      <c r="BY47" s="268"/>
      <c r="BZ47" s="268"/>
      <c r="CA47" s="268"/>
      <c r="CB47" s="268"/>
      <c r="CC47" s="268"/>
      <c r="CD47" s="268"/>
      <c r="CE47" s="268"/>
      <c r="CF47" s="268"/>
      <c r="CG47" s="268"/>
      <c r="CH47" s="268"/>
      <c r="CI47" s="268"/>
      <c r="CJ47" s="268"/>
      <c r="CK47" s="268"/>
      <c r="CL47" s="268"/>
      <c r="CM47" s="268"/>
      <c r="CN47" s="268"/>
      <c r="CO47" s="268"/>
      <c r="CP47" s="268"/>
      <c r="CQ47" s="268"/>
      <c r="CR47" s="268"/>
      <c r="CS47" s="268"/>
      <c r="CT47" s="268"/>
      <c r="CU47" s="268"/>
      <c r="CV47" s="268"/>
      <c r="CW47" s="268"/>
      <c r="CX47" s="268"/>
      <c r="CY47" s="268"/>
      <c r="CZ47" s="268"/>
      <c r="DA47" s="268"/>
      <c r="DB47" s="268"/>
      <c r="DC47" s="268"/>
      <c r="DD47" s="268"/>
      <c r="DE47" s="268"/>
      <c r="DF47" s="268"/>
      <c r="DG47" s="268"/>
      <c r="DH47" s="268"/>
      <c r="DI47" s="268"/>
      <c r="DJ47" s="268"/>
      <c r="DK47" s="268"/>
      <c r="DL47" s="268"/>
      <c r="DM47" s="268"/>
      <c r="DN47" s="268"/>
      <c r="DO47" s="268"/>
      <c r="DP47" s="268"/>
      <c r="DQ47" s="268"/>
      <c r="DR47" s="268"/>
      <c r="DS47" s="268"/>
      <c r="DT47" s="268"/>
      <c r="DU47" s="268"/>
      <c r="DV47" s="268"/>
      <c r="DW47" s="268"/>
      <c r="DX47" s="268"/>
      <c r="DY47" s="268"/>
      <c r="DZ47" s="268"/>
      <c r="EA47" s="268"/>
      <c r="EB47" s="268"/>
      <c r="EC47" s="268"/>
      <c r="ED47" s="268"/>
      <c r="EE47" s="268"/>
      <c r="EF47" s="268"/>
      <c r="EG47" s="268"/>
      <c r="EH47" s="268"/>
      <c r="EI47" s="268"/>
      <c r="EJ47" s="268"/>
      <c r="EK47" s="268"/>
      <c r="EL47" s="268"/>
      <c r="EM47" s="268"/>
      <c r="EN47" s="268"/>
      <c r="EO47" s="268"/>
      <c r="EP47" s="268"/>
      <c r="EQ47" s="268"/>
      <c r="ER47" s="268"/>
      <c r="ES47" s="268"/>
      <c r="ET47" s="268"/>
      <c r="EU47" s="268"/>
      <c r="EV47" s="268"/>
      <c r="EW47" s="268"/>
      <c r="EX47" s="268"/>
      <c r="EY47" s="268"/>
      <c r="EZ47" s="268"/>
      <c r="FA47" s="268"/>
      <c r="FB47" s="268"/>
      <c r="FC47" s="268"/>
      <c r="FD47" s="268"/>
      <c r="FE47" s="268"/>
      <c r="FF47" s="268"/>
      <c r="FG47" s="268"/>
      <c r="FH47" s="268"/>
      <c r="FI47" s="268"/>
      <c r="FJ47" s="268"/>
      <c r="FK47" s="268"/>
      <c r="FL47" s="268"/>
      <c r="FM47" s="268"/>
      <c r="FN47" s="268"/>
      <c r="FO47" s="268"/>
      <c r="FP47" s="268"/>
      <c r="FQ47" s="268"/>
      <c r="FR47" s="268"/>
      <c r="FS47" s="268"/>
      <c r="FT47" s="268"/>
      <c r="FU47" s="268"/>
      <c r="FV47" s="268"/>
      <c r="FW47" s="268"/>
      <c r="FX47" s="268"/>
      <c r="FY47" s="268"/>
      <c r="FZ47" s="268"/>
      <c r="GA47" s="268"/>
      <c r="GB47" s="268"/>
      <c r="GC47" s="268"/>
      <c r="GD47" s="268"/>
      <c r="GE47" s="268"/>
      <c r="GF47" s="268"/>
      <c r="GG47" s="268"/>
      <c r="GH47" s="268"/>
      <c r="GI47" s="268"/>
      <c r="GJ47" s="268"/>
      <c r="GK47" s="268"/>
      <c r="GL47" s="268"/>
      <c r="GM47" s="268"/>
      <c r="GN47" s="268"/>
      <c r="GO47" s="268"/>
      <c r="GP47" s="268"/>
      <c r="GQ47" s="268"/>
      <c r="GR47" s="268"/>
      <c r="GS47" s="268"/>
      <c r="GT47" s="268"/>
      <c r="GU47" s="268"/>
      <c r="GV47" s="268"/>
      <c r="GW47" s="268"/>
      <c r="GX47" s="268"/>
      <c r="GY47" s="268"/>
      <c r="GZ47" s="268"/>
      <c r="HA47" s="268"/>
      <c r="HB47" s="268"/>
      <c r="HC47" s="268"/>
      <c r="HD47" s="268"/>
      <c r="HE47" s="268"/>
      <c r="HF47" s="268"/>
      <c r="HG47" s="268"/>
      <c r="HH47" s="268"/>
      <c r="HI47" s="268"/>
      <c r="HJ47" s="268"/>
      <c r="HK47" s="268"/>
      <c r="HL47" s="268"/>
      <c r="HM47" s="268"/>
      <c r="HN47" s="268"/>
      <c r="HO47" s="268"/>
      <c r="HP47" s="268"/>
      <c r="HQ47" s="268"/>
      <c r="HR47" s="268"/>
      <c r="HS47" s="268"/>
      <c r="HT47" s="268"/>
      <c r="HU47" s="268"/>
      <c r="HV47" s="268"/>
      <c r="HW47" s="268"/>
      <c r="HX47" s="268"/>
      <c r="HY47" s="268"/>
      <c r="HZ47" s="268"/>
      <c r="IA47" s="268"/>
      <c r="IB47" s="268"/>
      <c r="IC47" s="268"/>
      <c r="ID47" s="268"/>
      <c r="IE47" s="268"/>
      <c r="IF47" s="268"/>
      <c r="IG47" s="268"/>
      <c r="IH47" s="268"/>
      <c r="II47" s="268"/>
      <c r="IJ47" s="268"/>
      <c r="IK47" s="268"/>
      <c r="IL47" s="268"/>
      <c r="IM47" s="268"/>
      <c r="IN47" s="268"/>
      <c r="IO47" s="268"/>
      <c r="IP47" s="268"/>
      <c r="IQ47" s="268"/>
      <c r="IR47" s="268"/>
      <c r="IS47" s="268"/>
      <c r="IT47" s="268"/>
      <c r="IU47" s="268"/>
      <c r="IV47" s="268"/>
      <c r="IW47" s="268"/>
      <c r="IX47" s="268"/>
      <c r="IY47" s="268"/>
      <c r="IZ47" s="268"/>
      <c r="JA47" s="268"/>
      <c r="JB47" s="268"/>
      <c r="JC47" s="268"/>
      <c r="JD47" s="268"/>
      <c r="JE47" s="268"/>
      <c r="JF47" s="268"/>
      <c r="JG47" s="268"/>
      <c r="JH47" s="268"/>
      <c r="JI47" s="268"/>
      <c r="JJ47" s="268"/>
      <c r="JK47" s="268"/>
      <c r="JL47" s="268"/>
      <c r="JM47" s="268"/>
      <c r="JN47" s="268"/>
      <c r="JO47" s="268"/>
      <c r="JP47" s="268"/>
      <c r="JQ47" s="268"/>
      <c r="JR47" s="268"/>
      <c r="JS47" s="268"/>
      <c r="JT47" s="268"/>
      <c r="JU47" s="268"/>
      <c r="JV47" s="268"/>
      <c r="JW47" s="268"/>
      <c r="JX47" s="268"/>
      <c r="JY47" s="268"/>
      <c r="JZ47" s="268"/>
      <c r="KA47" s="268"/>
      <c r="KB47" s="268"/>
      <c r="KC47" s="268"/>
      <c r="KD47" s="268"/>
      <c r="KE47" s="268"/>
      <c r="KF47" s="268"/>
      <c r="KG47" s="268"/>
      <c r="KH47" s="268"/>
      <c r="KI47" s="268"/>
      <c r="KJ47" s="268"/>
      <c r="KK47" s="268"/>
      <c r="KL47" s="268"/>
      <c r="KM47" s="268"/>
      <c r="KN47" s="268"/>
      <c r="KO47" s="268"/>
      <c r="KP47" s="268"/>
      <c r="KQ47" s="268"/>
      <c r="KR47" s="268"/>
      <c r="KS47" s="268"/>
      <c r="KT47" s="268"/>
      <c r="KU47" s="268"/>
      <c r="KV47" s="268"/>
      <c r="KW47" s="268"/>
      <c r="KX47" s="268"/>
      <c r="KY47" s="268"/>
      <c r="KZ47" s="268"/>
      <c r="LA47" s="268"/>
      <c r="LB47" s="268"/>
      <c r="LC47" s="268"/>
      <c r="LD47" s="268"/>
      <c r="LE47" s="268"/>
      <c r="LF47" s="268"/>
      <c r="LG47" s="268"/>
      <c r="LH47" s="268"/>
      <c r="LI47" s="268"/>
      <c r="LJ47" s="268"/>
    </row>
    <row r="48" spans="1:322" s="354" customFormat="1" ht="22.15" customHeight="1" x14ac:dyDescent="0.25">
      <c r="A48" s="338" t="s">
        <v>220</v>
      </c>
      <c r="B48" s="332">
        <v>1</v>
      </c>
      <c r="C48" s="333"/>
      <c r="D48" s="343"/>
      <c r="E48" s="355"/>
      <c r="F48" s="356"/>
      <c r="G48" s="322"/>
      <c r="H48" s="322"/>
      <c r="I48" s="322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8"/>
      <c r="BK48" s="268"/>
      <c r="BL48" s="268"/>
      <c r="BM48" s="268"/>
      <c r="BN48" s="268"/>
      <c r="BO48" s="268"/>
      <c r="BP48" s="268"/>
      <c r="BQ48" s="268"/>
      <c r="BR48" s="268"/>
      <c r="BS48" s="268"/>
      <c r="BT48" s="268"/>
      <c r="BU48" s="268"/>
      <c r="BV48" s="268"/>
      <c r="BW48" s="268"/>
      <c r="BX48" s="268"/>
      <c r="BY48" s="268"/>
      <c r="BZ48" s="268"/>
      <c r="CA48" s="268"/>
      <c r="CB48" s="268"/>
      <c r="CC48" s="268"/>
      <c r="CD48" s="268"/>
      <c r="CE48" s="268"/>
      <c r="CF48" s="268"/>
      <c r="CG48" s="268"/>
      <c r="CH48" s="268"/>
      <c r="CI48" s="268"/>
      <c r="CJ48" s="268"/>
      <c r="CK48" s="268"/>
      <c r="CL48" s="268"/>
      <c r="CM48" s="268"/>
      <c r="CN48" s="268"/>
      <c r="CO48" s="268"/>
      <c r="CP48" s="268"/>
      <c r="CQ48" s="268"/>
      <c r="CR48" s="268"/>
      <c r="CS48" s="268"/>
      <c r="CT48" s="268"/>
      <c r="CU48" s="268"/>
      <c r="CV48" s="268"/>
      <c r="CW48" s="268"/>
      <c r="CX48" s="268"/>
      <c r="CY48" s="268"/>
      <c r="CZ48" s="268"/>
      <c r="DA48" s="268"/>
      <c r="DB48" s="268"/>
      <c r="DC48" s="268"/>
      <c r="DD48" s="268"/>
      <c r="DE48" s="268"/>
      <c r="DF48" s="268"/>
      <c r="DG48" s="268"/>
      <c r="DH48" s="268"/>
      <c r="DI48" s="268"/>
      <c r="DJ48" s="268"/>
      <c r="DK48" s="268"/>
      <c r="DL48" s="268"/>
      <c r="DM48" s="268"/>
      <c r="DN48" s="268"/>
      <c r="DO48" s="268"/>
      <c r="DP48" s="268"/>
      <c r="DQ48" s="268"/>
      <c r="DR48" s="268"/>
      <c r="DS48" s="268"/>
      <c r="DT48" s="268"/>
      <c r="DU48" s="268"/>
      <c r="DV48" s="268"/>
      <c r="DW48" s="268"/>
      <c r="DX48" s="268"/>
      <c r="DY48" s="268"/>
      <c r="DZ48" s="268"/>
      <c r="EA48" s="268"/>
      <c r="EB48" s="268"/>
      <c r="EC48" s="268"/>
      <c r="ED48" s="268"/>
      <c r="EE48" s="268"/>
      <c r="EF48" s="268"/>
      <c r="EG48" s="268"/>
      <c r="EH48" s="268"/>
      <c r="EI48" s="268"/>
      <c r="EJ48" s="268"/>
      <c r="EK48" s="268"/>
      <c r="EL48" s="268"/>
      <c r="EM48" s="268"/>
      <c r="EN48" s="268"/>
      <c r="EO48" s="268"/>
      <c r="EP48" s="268"/>
      <c r="EQ48" s="268"/>
      <c r="ER48" s="268"/>
      <c r="ES48" s="268"/>
      <c r="ET48" s="268"/>
      <c r="EU48" s="268"/>
      <c r="EV48" s="268"/>
      <c r="EW48" s="268"/>
      <c r="EX48" s="268"/>
      <c r="EY48" s="268"/>
      <c r="EZ48" s="268"/>
      <c r="FA48" s="268"/>
      <c r="FB48" s="268"/>
      <c r="FC48" s="268"/>
      <c r="FD48" s="268"/>
      <c r="FE48" s="268"/>
      <c r="FF48" s="268"/>
      <c r="FG48" s="268"/>
      <c r="FH48" s="268"/>
      <c r="FI48" s="268"/>
      <c r="FJ48" s="268"/>
      <c r="FK48" s="268"/>
      <c r="FL48" s="268"/>
      <c r="FM48" s="268"/>
      <c r="FN48" s="268"/>
      <c r="FO48" s="268"/>
      <c r="FP48" s="268"/>
      <c r="FQ48" s="268"/>
      <c r="FR48" s="268"/>
      <c r="FS48" s="268"/>
      <c r="FT48" s="268"/>
      <c r="FU48" s="268"/>
      <c r="FV48" s="268"/>
      <c r="FW48" s="268"/>
      <c r="FX48" s="268"/>
      <c r="FY48" s="268"/>
      <c r="FZ48" s="268"/>
      <c r="GA48" s="268"/>
      <c r="GB48" s="268"/>
      <c r="GC48" s="268"/>
      <c r="GD48" s="268"/>
      <c r="GE48" s="268"/>
      <c r="GF48" s="268"/>
      <c r="GG48" s="268"/>
      <c r="GH48" s="268"/>
      <c r="GI48" s="268"/>
      <c r="GJ48" s="268"/>
      <c r="GK48" s="268"/>
      <c r="GL48" s="268"/>
      <c r="GM48" s="268"/>
      <c r="GN48" s="268"/>
      <c r="GO48" s="268"/>
      <c r="GP48" s="268"/>
      <c r="GQ48" s="268"/>
      <c r="GR48" s="268"/>
      <c r="GS48" s="268"/>
      <c r="GT48" s="268"/>
      <c r="GU48" s="268"/>
      <c r="GV48" s="268"/>
      <c r="GW48" s="268"/>
      <c r="GX48" s="268"/>
      <c r="GY48" s="268"/>
      <c r="GZ48" s="268"/>
      <c r="HA48" s="268"/>
      <c r="HB48" s="268"/>
      <c r="HC48" s="268"/>
      <c r="HD48" s="268"/>
      <c r="HE48" s="268"/>
      <c r="HF48" s="268"/>
      <c r="HG48" s="268"/>
      <c r="HH48" s="268"/>
      <c r="HI48" s="268"/>
      <c r="HJ48" s="268"/>
      <c r="HK48" s="268"/>
      <c r="HL48" s="268"/>
      <c r="HM48" s="268"/>
      <c r="HN48" s="268"/>
      <c r="HO48" s="268"/>
      <c r="HP48" s="268"/>
      <c r="HQ48" s="268"/>
      <c r="HR48" s="268"/>
      <c r="HS48" s="268"/>
      <c r="HT48" s="268"/>
      <c r="HU48" s="268"/>
      <c r="HV48" s="268"/>
      <c r="HW48" s="268"/>
      <c r="HX48" s="268"/>
      <c r="HY48" s="268"/>
      <c r="HZ48" s="268"/>
      <c r="IA48" s="268"/>
      <c r="IB48" s="268"/>
      <c r="IC48" s="268"/>
      <c r="ID48" s="268"/>
      <c r="IE48" s="268"/>
      <c r="IF48" s="268"/>
      <c r="IG48" s="268"/>
      <c r="IH48" s="268"/>
      <c r="II48" s="268"/>
      <c r="IJ48" s="268"/>
      <c r="IK48" s="268"/>
      <c r="IL48" s="268"/>
      <c r="IM48" s="268"/>
      <c r="IN48" s="268"/>
      <c r="IO48" s="268"/>
      <c r="IP48" s="268"/>
      <c r="IQ48" s="268"/>
      <c r="IR48" s="268"/>
      <c r="IS48" s="268"/>
      <c r="IT48" s="268"/>
      <c r="IU48" s="268"/>
      <c r="IV48" s="268"/>
      <c r="IW48" s="268"/>
      <c r="IX48" s="268"/>
      <c r="IY48" s="268"/>
      <c r="IZ48" s="268"/>
      <c r="JA48" s="268"/>
      <c r="JB48" s="268"/>
      <c r="JC48" s="268"/>
      <c r="JD48" s="268"/>
      <c r="JE48" s="268"/>
      <c r="JF48" s="268"/>
      <c r="JG48" s="268"/>
      <c r="JH48" s="268"/>
      <c r="JI48" s="268"/>
      <c r="JJ48" s="268"/>
      <c r="JK48" s="268"/>
      <c r="JL48" s="268"/>
      <c r="JM48" s="268"/>
      <c r="JN48" s="268"/>
      <c r="JO48" s="268"/>
      <c r="JP48" s="268"/>
      <c r="JQ48" s="268"/>
      <c r="JR48" s="268"/>
      <c r="JS48" s="268"/>
      <c r="JT48" s="268"/>
      <c r="JU48" s="268"/>
      <c r="JV48" s="268"/>
      <c r="JW48" s="268"/>
      <c r="JX48" s="268"/>
      <c r="JY48" s="268"/>
      <c r="JZ48" s="268"/>
      <c r="KA48" s="268"/>
      <c r="KB48" s="268"/>
      <c r="KC48" s="268"/>
      <c r="KD48" s="268"/>
      <c r="KE48" s="268"/>
      <c r="KF48" s="268"/>
      <c r="KG48" s="268"/>
      <c r="KH48" s="268"/>
      <c r="KI48" s="268"/>
      <c r="KJ48" s="268"/>
      <c r="KK48" s="268"/>
      <c r="KL48" s="268"/>
      <c r="KM48" s="268"/>
      <c r="KN48" s="268"/>
      <c r="KO48" s="268"/>
      <c r="KP48" s="268"/>
      <c r="KQ48" s="268"/>
      <c r="KR48" s="268"/>
      <c r="KS48" s="268"/>
      <c r="KT48" s="268"/>
      <c r="KU48" s="268"/>
      <c r="KV48" s="268"/>
      <c r="KW48" s="268"/>
      <c r="KX48" s="268"/>
      <c r="KY48" s="268"/>
      <c r="KZ48" s="268"/>
      <c r="LA48" s="268"/>
      <c r="LB48" s="268"/>
      <c r="LC48" s="268"/>
      <c r="LD48" s="268"/>
      <c r="LE48" s="268"/>
      <c r="LF48" s="268"/>
      <c r="LG48" s="268"/>
      <c r="LH48" s="268"/>
      <c r="LI48" s="268"/>
      <c r="LJ48" s="268"/>
    </row>
    <row r="49" spans="1:322" s="354" customFormat="1" ht="22.15" customHeight="1" x14ac:dyDescent="0.25">
      <c r="A49" s="338" t="s">
        <v>221</v>
      </c>
      <c r="B49" s="332">
        <v>1</v>
      </c>
      <c r="C49" s="333">
        <f>D49*$B$6</f>
        <v>0</v>
      </c>
      <c r="D49" s="343"/>
      <c r="E49" s="355"/>
      <c r="F49" s="356" t="s">
        <v>222</v>
      </c>
      <c r="G49" s="322"/>
      <c r="H49" s="322"/>
      <c r="I49" s="322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8"/>
      <c r="AG49" s="268"/>
      <c r="AH49" s="268"/>
      <c r="AI49" s="268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8"/>
      <c r="BJ49" s="268"/>
      <c r="BK49" s="268"/>
      <c r="BL49" s="268"/>
      <c r="BM49" s="268"/>
      <c r="BN49" s="268"/>
      <c r="BO49" s="268"/>
      <c r="BP49" s="268"/>
      <c r="BQ49" s="268"/>
      <c r="BR49" s="268"/>
      <c r="BS49" s="268"/>
      <c r="BT49" s="268"/>
      <c r="BU49" s="268"/>
      <c r="BV49" s="268"/>
      <c r="BW49" s="268"/>
      <c r="BX49" s="268"/>
      <c r="BY49" s="268"/>
      <c r="BZ49" s="268"/>
      <c r="CA49" s="268"/>
      <c r="CB49" s="268"/>
      <c r="CC49" s="268"/>
      <c r="CD49" s="268"/>
      <c r="CE49" s="268"/>
      <c r="CF49" s="268"/>
      <c r="CG49" s="268"/>
      <c r="CH49" s="268"/>
      <c r="CI49" s="268"/>
      <c r="CJ49" s="268"/>
      <c r="CK49" s="268"/>
      <c r="CL49" s="268"/>
      <c r="CM49" s="268"/>
      <c r="CN49" s="268"/>
      <c r="CO49" s="268"/>
      <c r="CP49" s="268"/>
      <c r="CQ49" s="268"/>
      <c r="CR49" s="268"/>
      <c r="CS49" s="268"/>
      <c r="CT49" s="268"/>
      <c r="CU49" s="268"/>
      <c r="CV49" s="268"/>
      <c r="CW49" s="268"/>
      <c r="CX49" s="268"/>
      <c r="CY49" s="268"/>
      <c r="CZ49" s="268"/>
      <c r="DA49" s="268"/>
      <c r="DB49" s="268"/>
      <c r="DC49" s="268"/>
      <c r="DD49" s="268"/>
      <c r="DE49" s="268"/>
      <c r="DF49" s="268"/>
      <c r="DG49" s="268"/>
      <c r="DH49" s="268"/>
      <c r="DI49" s="268"/>
      <c r="DJ49" s="268"/>
      <c r="DK49" s="268"/>
      <c r="DL49" s="268"/>
      <c r="DM49" s="268"/>
      <c r="DN49" s="268"/>
      <c r="DO49" s="268"/>
      <c r="DP49" s="268"/>
      <c r="DQ49" s="268"/>
      <c r="DR49" s="268"/>
      <c r="DS49" s="268"/>
      <c r="DT49" s="268"/>
      <c r="DU49" s="268"/>
      <c r="DV49" s="268"/>
      <c r="DW49" s="268"/>
      <c r="DX49" s="268"/>
      <c r="DY49" s="268"/>
      <c r="DZ49" s="268"/>
      <c r="EA49" s="268"/>
      <c r="EB49" s="268"/>
      <c r="EC49" s="268"/>
      <c r="ED49" s="268"/>
      <c r="EE49" s="268"/>
      <c r="EF49" s="268"/>
      <c r="EG49" s="268"/>
      <c r="EH49" s="268"/>
      <c r="EI49" s="268"/>
      <c r="EJ49" s="268"/>
      <c r="EK49" s="268"/>
      <c r="EL49" s="268"/>
      <c r="EM49" s="268"/>
      <c r="EN49" s="268"/>
      <c r="EO49" s="268"/>
      <c r="EP49" s="268"/>
      <c r="EQ49" s="268"/>
      <c r="ER49" s="268"/>
      <c r="ES49" s="268"/>
      <c r="ET49" s="268"/>
      <c r="EU49" s="268"/>
      <c r="EV49" s="268"/>
      <c r="EW49" s="268"/>
      <c r="EX49" s="268"/>
      <c r="EY49" s="268"/>
      <c r="EZ49" s="268"/>
      <c r="FA49" s="268"/>
      <c r="FB49" s="268"/>
      <c r="FC49" s="268"/>
      <c r="FD49" s="268"/>
      <c r="FE49" s="268"/>
      <c r="FF49" s="268"/>
      <c r="FG49" s="268"/>
      <c r="FH49" s="268"/>
      <c r="FI49" s="268"/>
      <c r="FJ49" s="268"/>
      <c r="FK49" s="268"/>
      <c r="FL49" s="268"/>
      <c r="FM49" s="268"/>
      <c r="FN49" s="268"/>
      <c r="FO49" s="268"/>
      <c r="FP49" s="268"/>
      <c r="FQ49" s="268"/>
      <c r="FR49" s="268"/>
      <c r="FS49" s="268"/>
      <c r="FT49" s="268"/>
      <c r="FU49" s="268"/>
      <c r="FV49" s="268"/>
      <c r="FW49" s="268"/>
      <c r="FX49" s="268"/>
      <c r="FY49" s="268"/>
      <c r="FZ49" s="268"/>
      <c r="GA49" s="268"/>
      <c r="GB49" s="268"/>
      <c r="GC49" s="268"/>
      <c r="GD49" s="268"/>
      <c r="GE49" s="268"/>
      <c r="GF49" s="268"/>
      <c r="GG49" s="268"/>
      <c r="GH49" s="268"/>
      <c r="GI49" s="268"/>
      <c r="GJ49" s="268"/>
      <c r="GK49" s="268"/>
      <c r="GL49" s="268"/>
      <c r="GM49" s="268"/>
      <c r="GN49" s="268"/>
      <c r="GO49" s="268"/>
      <c r="GP49" s="268"/>
      <c r="GQ49" s="268"/>
      <c r="GR49" s="268"/>
      <c r="GS49" s="268"/>
      <c r="GT49" s="268"/>
      <c r="GU49" s="268"/>
      <c r="GV49" s="268"/>
      <c r="GW49" s="268"/>
      <c r="GX49" s="268"/>
      <c r="GY49" s="268"/>
      <c r="GZ49" s="268"/>
      <c r="HA49" s="268"/>
      <c r="HB49" s="268"/>
      <c r="HC49" s="268"/>
      <c r="HD49" s="268"/>
      <c r="HE49" s="268"/>
      <c r="HF49" s="268"/>
      <c r="HG49" s="268"/>
      <c r="HH49" s="268"/>
      <c r="HI49" s="268"/>
      <c r="HJ49" s="268"/>
      <c r="HK49" s="268"/>
      <c r="HL49" s="268"/>
      <c r="HM49" s="268"/>
      <c r="HN49" s="268"/>
      <c r="HO49" s="268"/>
      <c r="HP49" s="268"/>
      <c r="HQ49" s="268"/>
      <c r="HR49" s="268"/>
      <c r="HS49" s="268"/>
      <c r="HT49" s="268"/>
      <c r="HU49" s="268"/>
      <c r="HV49" s="268"/>
      <c r="HW49" s="268"/>
      <c r="HX49" s="268"/>
      <c r="HY49" s="268"/>
      <c r="HZ49" s="268"/>
      <c r="IA49" s="268"/>
      <c r="IB49" s="268"/>
      <c r="IC49" s="268"/>
      <c r="ID49" s="268"/>
      <c r="IE49" s="268"/>
      <c r="IF49" s="268"/>
      <c r="IG49" s="268"/>
      <c r="IH49" s="268"/>
      <c r="II49" s="268"/>
      <c r="IJ49" s="268"/>
      <c r="IK49" s="268"/>
      <c r="IL49" s="268"/>
      <c r="IM49" s="268"/>
      <c r="IN49" s="268"/>
      <c r="IO49" s="268"/>
      <c r="IP49" s="268"/>
      <c r="IQ49" s="268"/>
      <c r="IR49" s="268"/>
      <c r="IS49" s="268"/>
      <c r="IT49" s="268"/>
      <c r="IU49" s="268"/>
      <c r="IV49" s="268"/>
      <c r="IW49" s="268"/>
      <c r="IX49" s="268"/>
      <c r="IY49" s="268"/>
      <c r="IZ49" s="268"/>
      <c r="JA49" s="268"/>
      <c r="JB49" s="268"/>
      <c r="JC49" s="268"/>
      <c r="JD49" s="268"/>
      <c r="JE49" s="268"/>
      <c r="JF49" s="268"/>
      <c r="JG49" s="268"/>
      <c r="JH49" s="268"/>
      <c r="JI49" s="268"/>
      <c r="JJ49" s="268"/>
      <c r="JK49" s="268"/>
      <c r="JL49" s="268"/>
      <c r="JM49" s="268"/>
      <c r="JN49" s="268"/>
      <c r="JO49" s="268"/>
      <c r="JP49" s="268"/>
      <c r="JQ49" s="268"/>
      <c r="JR49" s="268"/>
      <c r="JS49" s="268"/>
      <c r="JT49" s="268"/>
      <c r="JU49" s="268"/>
      <c r="JV49" s="268"/>
      <c r="JW49" s="268"/>
      <c r="JX49" s="268"/>
      <c r="JY49" s="268"/>
      <c r="JZ49" s="268"/>
      <c r="KA49" s="268"/>
      <c r="KB49" s="268"/>
      <c r="KC49" s="268"/>
      <c r="KD49" s="268"/>
      <c r="KE49" s="268"/>
      <c r="KF49" s="268"/>
      <c r="KG49" s="268"/>
      <c r="KH49" s="268"/>
      <c r="KI49" s="268"/>
      <c r="KJ49" s="268"/>
      <c r="KK49" s="268"/>
      <c r="KL49" s="268"/>
      <c r="KM49" s="268"/>
      <c r="KN49" s="268"/>
      <c r="KO49" s="268"/>
      <c r="KP49" s="268"/>
      <c r="KQ49" s="268"/>
      <c r="KR49" s="268"/>
      <c r="KS49" s="268"/>
      <c r="KT49" s="268"/>
      <c r="KU49" s="268"/>
      <c r="KV49" s="268"/>
      <c r="KW49" s="268"/>
      <c r="KX49" s="268"/>
      <c r="KY49" s="268"/>
      <c r="KZ49" s="268"/>
      <c r="LA49" s="268"/>
      <c r="LB49" s="268"/>
      <c r="LC49" s="268"/>
      <c r="LD49" s="268"/>
      <c r="LE49" s="268"/>
      <c r="LF49" s="268"/>
      <c r="LG49" s="268"/>
      <c r="LH49" s="268"/>
      <c r="LI49" s="268"/>
      <c r="LJ49" s="268"/>
    </row>
    <row r="50" spans="1:322" s="354" customFormat="1" ht="22.15" customHeight="1" x14ac:dyDescent="0.25">
      <c r="A50" s="338" t="s">
        <v>223</v>
      </c>
      <c r="B50" s="332">
        <v>1</v>
      </c>
      <c r="C50" s="333">
        <f>D50*$B$6</f>
        <v>0</v>
      </c>
      <c r="D50" s="343"/>
      <c r="E50" s="355"/>
      <c r="F50" s="356"/>
      <c r="G50" s="322"/>
      <c r="H50" s="322"/>
      <c r="I50" s="322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  <c r="BG50" s="268"/>
      <c r="BH50" s="268"/>
      <c r="BI50" s="268"/>
      <c r="BJ50" s="268"/>
      <c r="BK50" s="268"/>
      <c r="BL50" s="268"/>
      <c r="BM50" s="268"/>
      <c r="BN50" s="268"/>
      <c r="BO50" s="268"/>
      <c r="BP50" s="268"/>
      <c r="BQ50" s="268"/>
      <c r="BR50" s="268"/>
      <c r="BS50" s="268"/>
      <c r="BT50" s="268"/>
      <c r="BU50" s="268"/>
      <c r="BV50" s="268"/>
      <c r="BW50" s="268"/>
      <c r="BX50" s="268"/>
      <c r="BY50" s="268"/>
      <c r="BZ50" s="268"/>
      <c r="CA50" s="268"/>
      <c r="CB50" s="268"/>
      <c r="CC50" s="268"/>
      <c r="CD50" s="268"/>
      <c r="CE50" s="268"/>
      <c r="CF50" s="268"/>
      <c r="CG50" s="268"/>
      <c r="CH50" s="268"/>
      <c r="CI50" s="268"/>
      <c r="CJ50" s="268"/>
      <c r="CK50" s="268"/>
      <c r="CL50" s="268"/>
      <c r="CM50" s="268"/>
      <c r="CN50" s="268"/>
      <c r="CO50" s="268"/>
      <c r="CP50" s="268"/>
      <c r="CQ50" s="268"/>
      <c r="CR50" s="268"/>
      <c r="CS50" s="268"/>
      <c r="CT50" s="268"/>
      <c r="CU50" s="268"/>
      <c r="CV50" s="268"/>
      <c r="CW50" s="268"/>
      <c r="CX50" s="268"/>
      <c r="CY50" s="268"/>
      <c r="CZ50" s="268"/>
      <c r="DA50" s="268"/>
      <c r="DB50" s="268"/>
      <c r="DC50" s="268"/>
      <c r="DD50" s="268"/>
      <c r="DE50" s="268"/>
      <c r="DF50" s="268"/>
      <c r="DG50" s="268"/>
      <c r="DH50" s="268"/>
      <c r="DI50" s="268"/>
      <c r="DJ50" s="268"/>
      <c r="DK50" s="268"/>
      <c r="DL50" s="268"/>
      <c r="DM50" s="268"/>
      <c r="DN50" s="268"/>
      <c r="DO50" s="268"/>
      <c r="DP50" s="268"/>
      <c r="DQ50" s="268"/>
      <c r="DR50" s="268"/>
      <c r="DS50" s="268"/>
      <c r="DT50" s="268"/>
      <c r="DU50" s="268"/>
      <c r="DV50" s="268"/>
      <c r="DW50" s="268"/>
      <c r="DX50" s="268"/>
      <c r="DY50" s="268"/>
      <c r="DZ50" s="268"/>
      <c r="EA50" s="268"/>
      <c r="EB50" s="268"/>
      <c r="EC50" s="268"/>
      <c r="ED50" s="268"/>
      <c r="EE50" s="268"/>
      <c r="EF50" s="268"/>
      <c r="EG50" s="268"/>
      <c r="EH50" s="268"/>
      <c r="EI50" s="268"/>
      <c r="EJ50" s="268"/>
      <c r="EK50" s="268"/>
      <c r="EL50" s="268"/>
      <c r="EM50" s="268"/>
      <c r="EN50" s="268"/>
      <c r="EO50" s="268"/>
      <c r="EP50" s="268"/>
      <c r="EQ50" s="268"/>
      <c r="ER50" s="268"/>
      <c r="ES50" s="268"/>
      <c r="ET50" s="268"/>
      <c r="EU50" s="268"/>
      <c r="EV50" s="268"/>
      <c r="EW50" s="268"/>
      <c r="EX50" s="268"/>
      <c r="EY50" s="268"/>
      <c r="EZ50" s="268"/>
      <c r="FA50" s="268"/>
      <c r="FB50" s="268"/>
      <c r="FC50" s="268"/>
      <c r="FD50" s="268"/>
      <c r="FE50" s="268"/>
      <c r="FF50" s="268"/>
      <c r="FG50" s="268"/>
      <c r="FH50" s="268"/>
      <c r="FI50" s="268"/>
      <c r="FJ50" s="268"/>
      <c r="FK50" s="268"/>
      <c r="FL50" s="268"/>
      <c r="FM50" s="268"/>
      <c r="FN50" s="268"/>
      <c r="FO50" s="268"/>
      <c r="FP50" s="268"/>
      <c r="FQ50" s="268"/>
      <c r="FR50" s="268"/>
      <c r="FS50" s="268"/>
      <c r="FT50" s="268"/>
      <c r="FU50" s="268"/>
      <c r="FV50" s="268"/>
      <c r="FW50" s="268"/>
      <c r="FX50" s="268"/>
      <c r="FY50" s="268"/>
      <c r="FZ50" s="268"/>
      <c r="GA50" s="268"/>
      <c r="GB50" s="268"/>
      <c r="GC50" s="268"/>
      <c r="GD50" s="268"/>
      <c r="GE50" s="268"/>
      <c r="GF50" s="268"/>
      <c r="GG50" s="268"/>
      <c r="GH50" s="268"/>
      <c r="GI50" s="268"/>
      <c r="GJ50" s="268"/>
      <c r="GK50" s="268"/>
      <c r="GL50" s="268"/>
      <c r="GM50" s="268"/>
      <c r="GN50" s="268"/>
      <c r="GO50" s="268"/>
      <c r="GP50" s="268"/>
      <c r="GQ50" s="268"/>
      <c r="GR50" s="268"/>
      <c r="GS50" s="268"/>
      <c r="GT50" s="268"/>
      <c r="GU50" s="268"/>
      <c r="GV50" s="268"/>
      <c r="GW50" s="268"/>
      <c r="GX50" s="268"/>
      <c r="GY50" s="268"/>
      <c r="GZ50" s="268"/>
      <c r="HA50" s="268"/>
      <c r="HB50" s="268"/>
      <c r="HC50" s="268"/>
      <c r="HD50" s="268"/>
      <c r="HE50" s="268"/>
      <c r="HF50" s="268"/>
      <c r="HG50" s="268"/>
      <c r="HH50" s="268"/>
      <c r="HI50" s="268"/>
      <c r="HJ50" s="268"/>
      <c r="HK50" s="268"/>
      <c r="HL50" s="268"/>
      <c r="HM50" s="268"/>
      <c r="HN50" s="268"/>
      <c r="HO50" s="268"/>
      <c r="HP50" s="268"/>
      <c r="HQ50" s="268"/>
      <c r="HR50" s="268"/>
      <c r="HS50" s="268"/>
      <c r="HT50" s="268"/>
      <c r="HU50" s="268"/>
      <c r="HV50" s="268"/>
      <c r="HW50" s="268"/>
      <c r="HX50" s="268"/>
      <c r="HY50" s="268"/>
      <c r="HZ50" s="268"/>
      <c r="IA50" s="268"/>
      <c r="IB50" s="268"/>
      <c r="IC50" s="268"/>
      <c r="ID50" s="268"/>
      <c r="IE50" s="268"/>
      <c r="IF50" s="268"/>
      <c r="IG50" s="268"/>
      <c r="IH50" s="268"/>
      <c r="II50" s="268"/>
      <c r="IJ50" s="268"/>
      <c r="IK50" s="268"/>
      <c r="IL50" s="268"/>
      <c r="IM50" s="268"/>
      <c r="IN50" s="268"/>
      <c r="IO50" s="268"/>
      <c r="IP50" s="268"/>
      <c r="IQ50" s="268"/>
      <c r="IR50" s="268"/>
      <c r="IS50" s="268"/>
      <c r="IT50" s="268"/>
      <c r="IU50" s="268"/>
      <c r="IV50" s="268"/>
      <c r="IW50" s="268"/>
      <c r="IX50" s="268"/>
      <c r="IY50" s="268"/>
      <c r="IZ50" s="268"/>
      <c r="JA50" s="268"/>
      <c r="JB50" s="268"/>
      <c r="JC50" s="268"/>
      <c r="JD50" s="268"/>
      <c r="JE50" s="268"/>
      <c r="JF50" s="268"/>
      <c r="JG50" s="268"/>
      <c r="JH50" s="268"/>
      <c r="JI50" s="268"/>
      <c r="JJ50" s="268"/>
      <c r="JK50" s="268"/>
      <c r="JL50" s="268"/>
      <c r="JM50" s="268"/>
      <c r="JN50" s="268"/>
      <c r="JO50" s="268"/>
      <c r="JP50" s="268"/>
      <c r="JQ50" s="268"/>
      <c r="JR50" s="268"/>
      <c r="JS50" s="268"/>
      <c r="JT50" s="268"/>
      <c r="JU50" s="268"/>
      <c r="JV50" s="268"/>
      <c r="JW50" s="268"/>
      <c r="JX50" s="268"/>
      <c r="JY50" s="268"/>
      <c r="JZ50" s="268"/>
      <c r="KA50" s="268"/>
      <c r="KB50" s="268"/>
      <c r="KC50" s="268"/>
      <c r="KD50" s="268"/>
      <c r="KE50" s="268"/>
      <c r="KF50" s="268"/>
      <c r="KG50" s="268"/>
      <c r="KH50" s="268"/>
      <c r="KI50" s="268"/>
      <c r="KJ50" s="268"/>
      <c r="KK50" s="268"/>
      <c r="KL50" s="268"/>
      <c r="KM50" s="268"/>
      <c r="KN50" s="268"/>
      <c r="KO50" s="268"/>
      <c r="KP50" s="268"/>
      <c r="KQ50" s="268"/>
      <c r="KR50" s="268"/>
      <c r="KS50" s="268"/>
      <c r="KT50" s="268"/>
      <c r="KU50" s="268"/>
      <c r="KV50" s="268"/>
      <c r="KW50" s="268"/>
      <c r="KX50" s="268"/>
      <c r="KY50" s="268"/>
      <c r="KZ50" s="268"/>
      <c r="LA50" s="268"/>
      <c r="LB50" s="268"/>
      <c r="LC50" s="268"/>
      <c r="LD50" s="268"/>
      <c r="LE50" s="268"/>
      <c r="LF50" s="268"/>
      <c r="LG50" s="268"/>
      <c r="LH50" s="268"/>
      <c r="LI50" s="268"/>
      <c r="LJ50" s="268"/>
    </row>
    <row r="51" spans="1:322" s="354" customFormat="1" ht="22.15" customHeight="1" x14ac:dyDescent="0.25">
      <c r="A51" s="338" t="s">
        <v>224</v>
      </c>
      <c r="B51" s="332">
        <v>1</v>
      </c>
      <c r="C51" s="333">
        <f>D51*$B$6</f>
        <v>0</v>
      </c>
      <c r="D51" s="343"/>
      <c r="E51" s="355"/>
      <c r="F51" s="356"/>
      <c r="G51" s="322"/>
      <c r="H51" s="322"/>
      <c r="I51" s="322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268"/>
      <c r="BF51" s="268"/>
      <c r="BG51" s="268"/>
      <c r="BH51" s="268"/>
      <c r="BI51" s="268"/>
      <c r="BJ51" s="268"/>
      <c r="BK51" s="268"/>
      <c r="BL51" s="268"/>
      <c r="BM51" s="268"/>
      <c r="BN51" s="268"/>
      <c r="BO51" s="268"/>
      <c r="BP51" s="268"/>
      <c r="BQ51" s="268"/>
      <c r="BR51" s="268"/>
      <c r="BS51" s="268"/>
      <c r="BT51" s="268"/>
      <c r="BU51" s="268"/>
      <c r="BV51" s="268"/>
      <c r="BW51" s="268"/>
      <c r="BX51" s="268"/>
      <c r="BY51" s="268"/>
      <c r="BZ51" s="268"/>
      <c r="CA51" s="268"/>
      <c r="CB51" s="268"/>
      <c r="CC51" s="268"/>
      <c r="CD51" s="268"/>
      <c r="CE51" s="268"/>
      <c r="CF51" s="268"/>
      <c r="CG51" s="268"/>
      <c r="CH51" s="268"/>
      <c r="CI51" s="268"/>
      <c r="CJ51" s="268"/>
      <c r="CK51" s="268"/>
      <c r="CL51" s="268"/>
      <c r="CM51" s="268"/>
      <c r="CN51" s="268"/>
      <c r="CO51" s="268"/>
      <c r="CP51" s="268"/>
      <c r="CQ51" s="268"/>
      <c r="CR51" s="268"/>
      <c r="CS51" s="268"/>
      <c r="CT51" s="268"/>
      <c r="CU51" s="268"/>
      <c r="CV51" s="268"/>
      <c r="CW51" s="268"/>
      <c r="CX51" s="268"/>
      <c r="CY51" s="268"/>
      <c r="CZ51" s="268"/>
      <c r="DA51" s="268"/>
      <c r="DB51" s="268"/>
      <c r="DC51" s="268"/>
      <c r="DD51" s="268"/>
      <c r="DE51" s="268"/>
      <c r="DF51" s="268"/>
      <c r="DG51" s="268"/>
      <c r="DH51" s="268"/>
      <c r="DI51" s="268"/>
      <c r="DJ51" s="268"/>
      <c r="DK51" s="268"/>
      <c r="DL51" s="268"/>
      <c r="DM51" s="268"/>
      <c r="DN51" s="268"/>
      <c r="DO51" s="268"/>
      <c r="DP51" s="268"/>
      <c r="DQ51" s="268"/>
      <c r="DR51" s="268"/>
      <c r="DS51" s="268"/>
      <c r="DT51" s="268"/>
      <c r="DU51" s="268"/>
      <c r="DV51" s="268"/>
      <c r="DW51" s="268"/>
      <c r="DX51" s="268"/>
      <c r="DY51" s="268"/>
      <c r="DZ51" s="268"/>
      <c r="EA51" s="268"/>
      <c r="EB51" s="268"/>
      <c r="EC51" s="268"/>
      <c r="ED51" s="268"/>
      <c r="EE51" s="268"/>
      <c r="EF51" s="268"/>
      <c r="EG51" s="268"/>
      <c r="EH51" s="268"/>
      <c r="EI51" s="268"/>
      <c r="EJ51" s="268"/>
      <c r="EK51" s="268"/>
      <c r="EL51" s="268"/>
      <c r="EM51" s="268"/>
      <c r="EN51" s="268"/>
      <c r="EO51" s="268"/>
      <c r="EP51" s="268"/>
      <c r="EQ51" s="268"/>
      <c r="ER51" s="268"/>
      <c r="ES51" s="268"/>
      <c r="ET51" s="268"/>
      <c r="EU51" s="268"/>
      <c r="EV51" s="268"/>
      <c r="EW51" s="268"/>
      <c r="EX51" s="268"/>
      <c r="EY51" s="268"/>
      <c r="EZ51" s="268"/>
      <c r="FA51" s="268"/>
      <c r="FB51" s="268"/>
      <c r="FC51" s="268"/>
      <c r="FD51" s="268"/>
      <c r="FE51" s="268"/>
      <c r="FF51" s="268"/>
      <c r="FG51" s="268"/>
      <c r="FH51" s="268"/>
      <c r="FI51" s="268"/>
      <c r="FJ51" s="268"/>
      <c r="FK51" s="268"/>
      <c r="FL51" s="268"/>
      <c r="FM51" s="268"/>
      <c r="FN51" s="268"/>
      <c r="FO51" s="268"/>
      <c r="FP51" s="268"/>
      <c r="FQ51" s="268"/>
      <c r="FR51" s="268"/>
      <c r="FS51" s="268"/>
      <c r="FT51" s="268"/>
      <c r="FU51" s="268"/>
      <c r="FV51" s="268"/>
      <c r="FW51" s="268"/>
      <c r="FX51" s="268"/>
      <c r="FY51" s="268"/>
      <c r="FZ51" s="268"/>
      <c r="GA51" s="268"/>
      <c r="GB51" s="268"/>
      <c r="GC51" s="268"/>
      <c r="GD51" s="268"/>
      <c r="GE51" s="268"/>
      <c r="GF51" s="268"/>
      <c r="GG51" s="268"/>
      <c r="GH51" s="268"/>
      <c r="GI51" s="268"/>
      <c r="GJ51" s="268"/>
      <c r="GK51" s="268"/>
      <c r="GL51" s="268"/>
      <c r="GM51" s="268"/>
      <c r="GN51" s="268"/>
      <c r="GO51" s="268"/>
      <c r="GP51" s="268"/>
      <c r="GQ51" s="268"/>
      <c r="GR51" s="268"/>
      <c r="GS51" s="268"/>
      <c r="GT51" s="268"/>
      <c r="GU51" s="268"/>
      <c r="GV51" s="268"/>
      <c r="GW51" s="268"/>
      <c r="GX51" s="268"/>
      <c r="GY51" s="268"/>
      <c r="GZ51" s="268"/>
      <c r="HA51" s="268"/>
      <c r="HB51" s="268"/>
      <c r="HC51" s="268"/>
      <c r="HD51" s="268"/>
      <c r="HE51" s="268"/>
      <c r="HF51" s="268"/>
      <c r="HG51" s="268"/>
      <c r="HH51" s="268"/>
      <c r="HI51" s="268"/>
      <c r="HJ51" s="268"/>
      <c r="HK51" s="268"/>
      <c r="HL51" s="268"/>
      <c r="HM51" s="268"/>
      <c r="HN51" s="268"/>
      <c r="HO51" s="268"/>
      <c r="HP51" s="268"/>
      <c r="HQ51" s="268"/>
      <c r="HR51" s="268"/>
      <c r="HS51" s="268"/>
      <c r="HT51" s="268"/>
      <c r="HU51" s="268"/>
      <c r="HV51" s="268"/>
      <c r="HW51" s="268"/>
      <c r="HX51" s="268"/>
      <c r="HY51" s="268"/>
      <c r="HZ51" s="268"/>
      <c r="IA51" s="268"/>
      <c r="IB51" s="268"/>
      <c r="IC51" s="268"/>
      <c r="ID51" s="268"/>
      <c r="IE51" s="268"/>
      <c r="IF51" s="268"/>
      <c r="IG51" s="268"/>
      <c r="IH51" s="268"/>
      <c r="II51" s="268"/>
      <c r="IJ51" s="268"/>
      <c r="IK51" s="268"/>
      <c r="IL51" s="268"/>
      <c r="IM51" s="268"/>
      <c r="IN51" s="268"/>
      <c r="IO51" s="268"/>
      <c r="IP51" s="268"/>
      <c r="IQ51" s="268"/>
      <c r="IR51" s="268"/>
      <c r="IS51" s="268"/>
      <c r="IT51" s="268"/>
      <c r="IU51" s="268"/>
      <c r="IV51" s="268"/>
      <c r="IW51" s="268"/>
      <c r="IX51" s="268"/>
      <c r="IY51" s="268"/>
      <c r="IZ51" s="268"/>
      <c r="JA51" s="268"/>
      <c r="JB51" s="268"/>
      <c r="JC51" s="268"/>
      <c r="JD51" s="268"/>
      <c r="JE51" s="268"/>
      <c r="JF51" s="268"/>
      <c r="JG51" s="268"/>
      <c r="JH51" s="268"/>
      <c r="JI51" s="268"/>
      <c r="JJ51" s="268"/>
      <c r="JK51" s="268"/>
      <c r="JL51" s="268"/>
      <c r="JM51" s="268"/>
      <c r="JN51" s="268"/>
      <c r="JO51" s="268"/>
      <c r="JP51" s="268"/>
      <c r="JQ51" s="268"/>
      <c r="JR51" s="268"/>
      <c r="JS51" s="268"/>
      <c r="JT51" s="268"/>
      <c r="JU51" s="268"/>
      <c r="JV51" s="268"/>
      <c r="JW51" s="268"/>
      <c r="JX51" s="268"/>
      <c r="JY51" s="268"/>
      <c r="JZ51" s="268"/>
      <c r="KA51" s="268"/>
      <c r="KB51" s="268"/>
      <c r="KC51" s="268"/>
      <c r="KD51" s="268"/>
      <c r="KE51" s="268"/>
      <c r="KF51" s="268"/>
      <c r="KG51" s="268"/>
      <c r="KH51" s="268"/>
      <c r="KI51" s="268"/>
      <c r="KJ51" s="268"/>
      <c r="KK51" s="268"/>
      <c r="KL51" s="268"/>
      <c r="KM51" s="268"/>
      <c r="KN51" s="268"/>
      <c r="KO51" s="268"/>
      <c r="KP51" s="268"/>
      <c r="KQ51" s="268"/>
      <c r="KR51" s="268"/>
      <c r="KS51" s="268"/>
      <c r="KT51" s="268"/>
      <c r="KU51" s="268"/>
      <c r="KV51" s="268"/>
      <c r="KW51" s="268"/>
      <c r="KX51" s="268"/>
      <c r="KY51" s="268"/>
      <c r="KZ51" s="268"/>
      <c r="LA51" s="268"/>
      <c r="LB51" s="268"/>
      <c r="LC51" s="268"/>
      <c r="LD51" s="268"/>
      <c r="LE51" s="268"/>
      <c r="LF51" s="268"/>
      <c r="LG51" s="268"/>
      <c r="LH51" s="268"/>
      <c r="LI51" s="268"/>
      <c r="LJ51" s="268"/>
    </row>
    <row r="52" spans="1:322" ht="22.15" customHeight="1" x14ac:dyDescent="0.25">
      <c r="A52" s="357" t="s">
        <v>106</v>
      </c>
      <c r="B52" s="358"/>
      <c r="C52" s="335">
        <f>SUM(C46:C49)</f>
        <v>0</v>
      </c>
      <c r="D52" s="335"/>
      <c r="E52" s="336"/>
      <c r="F52" s="349"/>
      <c r="G52" s="350"/>
      <c r="H52" s="350"/>
      <c r="I52" s="350"/>
    </row>
    <row r="53" spans="1:322" ht="22.15" customHeight="1" x14ac:dyDescent="0.25">
      <c r="A53" s="359"/>
      <c r="B53" s="360"/>
      <c r="C53" s="361"/>
      <c r="D53" s="361"/>
      <c r="E53" s="361"/>
      <c r="F53" s="274"/>
      <c r="G53" s="359"/>
      <c r="H53" s="359"/>
      <c r="I53" s="359"/>
    </row>
    <row r="54" spans="1:322" ht="22.15" customHeight="1" x14ac:dyDescent="0.25">
      <c r="A54" s="357" t="s">
        <v>225</v>
      </c>
      <c r="B54" s="358"/>
      <c r="C54" s="335">
        <f>C52+C43+C31+C25+C14</f>
        <v>0</v>
      </c>
      <c r="D54" s="335"/>
      <c r="E54" s="336"/>
      <c r="F54" s="349"/>
      <c r="G54" s="350"/>
      <c r="H54" s="350"/>
      <c r="I54" s="350"/>
    </row>
    <row r="55" spans="1:322" ht="22.15" customHeight="1" x14ac:dyDescent="0.25">
      <c r="A55" s="362"/>
      <c r="B55" s="360"/>
      <c r="C55" s="361"/>
      <c r="D55" s="361"/>
      <c r="E55" s="361"/>
      <c r="F55" s="363"/>
      <c r="G55" s="359"/>
      <c r="H55" s="359"/>
      <c r="I55" s="359"/>
    </row>
    <row r="56" spans="1:322" ht="22.15" customHeight="1" x14ac:dyDescent="0.25">
      <c r="A56" s="305" t="s">
        <v>226</v>
      </c>
      <c r="B56" s="358"/>
      <c r="C56" s="335">
        <f>0.05*C54</f>
        <v>0</v>
      </c>
      <c r="D56" s="335"/>
      <c r="E56" s="364"/>
      <c r="F56" s="349"/>
      <c r="G56" s="350"/>
      <c r="H56" s="350"/>
      <c r="I56" s="350"/>
    </row>
    <row r="57" spans="1:322" ht="22.15" customHeight="1" x14ac:dyDescent="0.25">
      <c r="A57" s="365"/>
      <c r="B57" s="365"/>
      <c r="C57" s="365"/>
      <c r="D57" s="365"/>
      <c r="E57" s="366"/>
      <c r="F57" s="365"/>
      <c r="G57" s="366"/>
      <c r="H57" s="366"/>
      <c r="I57" s="366"/>
    </row>
    <row r="58" spans="1:322" ht="22.15" customHeight="1" x14ac:dyDescent="0.25">
      <c r="A58" s="305" t="s">
        <v>227</v>
      </c>
      <c r="B58" s="358"/>
      <c r="C58" s="367">
        <f>C54+C56</f>
        <v>0</v>
      </c>
      <c r="D58" s="367"/>
      <c r="E58" s="349"/>
      <c r="F58" s="349"/>
      <c r="G58" s="350"/>
      <c r="H58" s="350"/>
      <c r="I58" s="350"/>
    </row>
    <row r="59" spans="1:322" ht="22.15" customHeight="1" x14ac:dyDescent="0.25">
      <c r="A59" s="368"/>
      <c r="B59" s="368"/>
      <c r="C59" s="369"/>
      <c r="D59" s="368"/>
      <c r="E59" s="368"/>
      <c r="F59" s="368"/>
      <c r="G59" s="370"/>
      <c r="H59" s="371"/>
      <c r="I59" s="368"/>
    </row>
    <row r="60" spans="1:322" ht="22.15" customHeight="1" x14ac:dyDescent="0.25">
      <c r="A60" s="372" t="s">
        <v>228</v>
      </c>
      <c r="B60" s="368"/>
      <c r="C60" s="373">
        <f>C19+C20</f>
        <v>0</v>
      </c>
      <c r="D60" s="372"/>
      <c r="E60" s="368"/>
      <c r="F60" s="368"/>
      <c r="G60" s="370"/>
      <c r="H60" s="371"/>
      <c r="I60" s="368"/>
    </row>
    <row r="61" spans="1:322" ht="22.15" customHeight="1" thickBot="1" x14ac:dyDescent="0.3">
      <c r="A61" s="368"/>
      <c r="B61" s="368"/>
      <c r="C61" s="369"/>
      <c r="D61" s="368"/>
      <c r="E61" s="368"/>
      <c r="F61" s="368"/>
      <c r="G61" s="370"/>
      <c r="H61" s="371"/>
      <c r="I61" s="368"/>
    </row>
    <row r="62" spans="1:322" ht="22.15" customHeight="1" thickBot="1" x14ac:dyDescent="0.3">
      <c r="A62" s="374" t="s">
        <v>229</v>
      </c>
      <c r="B62" s="375"/>
      <c r="C62" s="376">
        <f>C58-C60</f>
        <v>0</v>
      </c>
      <c r="D62" s="377"/>
    </row>
    <row r="63" spans="1:322" ht="22.15" customHeight="1" x14ac:dyDescent="0.25">
      <c r="A63" s="378"/>
      <c r="C63" s="379"/>
      <c r="D63" s="380"/>
    </row>
    <row r="64" spans="1:322" ht="22.15" customHeight="1" x14ac:dyDescent="0.25"/>
    <row r="65" spans="3:3" ht="22.15" customHeight="1" x14ac:dyDescent="0.25">
      <c r="C65" s="379"/>
    </row>
    <row r="66" spans="3:3" ht="22.15" customHeight="1" x14ac:dyDescent="0.25"/>
    <row r="67" spans="3:3" ht="22.15" customHeight="1" x14ac:dyDescent="0.25"/>
    <row r="68" spans="3:3" ht="22.15" customHeight="1" x14ac:dyDescent="0.25"/>
    <row r="69" spans="3:3" ht="22.15" customHeight="1" x14ac:dyDescent="0.25"/>
    <row r="70" spans="3:3" ht="22.15" customHeight="1" x14ac:dyDescent="0.25"/>
    <row r="71" spans="3:3" ht="22.15" customHeight="1" x14ac:dyDescent="0.25"/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5A22-0E33-451D-88CB-81AE0B805C10}">
  <sheetPr>
    <tabColor rgb="FF00B050"/>
  </sheetPr>
  <dimension ref="A1:AZ235"/>
  <sheetViews>
    <sheetView showGridLines="0" topLeftCell="B1" workbookViewId="0">
      <pane ySplit="5" topLeftCell="A17" activePane="bottomLeft" state="frozen"/>
      <selection pane="bottomLeft" activeCell="B20" sqref="B20"/>
    </sheetView>
  </sheetViews>
  <sheetFormatPr defaultColWidth="15.7109375" defaultRowHeight="15" x14ac:dyDescent="0.2"/>
  <cols>
    <col min="1" max="1" width="17.7109375" style="20" hidden="1" customWidth="1"/>
    <col min="2" max="2" width="44" style="4" customWidth="1"/>
    <col min="3" max="6" width="22" style="4" customWidth="1"/>
    <col min="7" max="8" width="22" style="171" customWidth="1"/>
    <col min="9" max="9" width="26.7109375" style="4" hidden="1" customWidth="1"/>
    <col min="10" max="14" width="26.7109375" style="4" customWidth="1"/>
    <col min="15" max="16" width="26.7109375" style="4" hidden="1" customWidth="1"/>
    <col min="17" max="18" width="26.7109375" style="4" customWidth="1"/>
    <col min="19" max="20" width="26.7109375" style="5" customWidth="1"/>
    <col min="21" max="21" width="20.7109375" style="5" customWidth="1"/>
    <col min="22" max="16384" width="15.7109375" style="5"/>
  </cols>
  <sheetData>
    <row r="1" spans="1:22" ht="27" hidden="1" customHeight="1" x14ac:dyDescent="0.25">
      <c r="A1" s="1" t="s">
        <v>0</v>
      </c>
      <c r="B1" s="2"/>
      <c r="C1" s="2"/>
      <c r="D1" s="2"/>
      <c r="E1" s="2"/>
      <c r="F1" s="2"/>
      <c r="G1" s="3"/>
      <c r="H1" s="3"/>
    </row>
    <row r="2" spans="1:22" ht="18" hidden="1" customHeight="1" x14ac:dyDescent="0.25">
      <c r="A2" s="6" t="s">
        <v>1</v>
      </c>
      <c r="B2" s="7"/>
      <c r="C2" s="7"/>
      <c r="D2" s="7"/>
      <c r="E2" s="7"/>
      <c r="F2" s="7"/>
      <c r="G2" s="8"/>
      <c r="H2" s="8"/>
      <c r="I2" s="7"/>
      <c r="J2" s="7"/>
      <c r="K2" s="7"/>
      <c r="L2" s="7"/>
      <c r="M2" s="7"/>
      <c r="N2" s="7"/>
      <c r="O2" s="7"/>
      <c r="P2" s="7"/>
      <c r="Q2" s="7"/>
      <c r="R2" s="7"/>
    </row>
    <row r="3" spans="1:22" ht="22.9" hidden="1" customHeight="1" x14ac:dyDescent="0.25">
      <c r="A3" s="9" t="s">
        <v>2</v>
      </c>
      <c r="B3" s="10"/>
      <c r="C3" s="10"/>
      <c r="D3" s="10"/>
      <c r="E3" s="10"/>
      <c r="F3" s="11"/>
      <c r="G3" s="12"/>
      <c r="H3" s="12"/>
      <c r="I3" s="7"/>
      <c r="J3" s="7"/>
      <c r="K3" s="7"/>
      <c r="L3" s="7"/>
      <c r="M3" s="7"/>
      <c r="N3" s="7"/>
      <c r="O3" s="7"/>
      <c r="P3" s="7"/>
      <c r="Q3" s="7"/>
      <c r="R3" s="7"/>
    </row>
    <row r="4" spans="1:22" ht="1.5" customHeight="1" thickBot="1" x14ac:dyDescent="0.3">
      <c r="A4" s="13"/>
      <c r="B4" s="14"/>
      <c r="C4" s="14"/>
      <c r="D4" s="14"/>
      <c r="E4" s="14"/>
      <c r="F4" s="14"/>
      <c r="G4" s="15"/>
      <c r="H4" s="15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22" ht="42" customHeight="1" x14ac:dyDescent="0.3">
      <c r="A5" s="16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9" t="s">
        <v>8</v>
      </c>
      <c r="H5" s="19" t="s">
        <v>9</v>
      </c>
      <c r="I5"/>
      <c r="J5"/>
      <c r="K5"/>
      <c r="L5"/>
      <c r="M5"/>
      <c r="N5"/>
      <c r="O5"/>
      <c r="P5"/>
      <c r="Q5"/>
      <c r="R5"/>
      <c r="S5"/>
      <c r="T5"/>
      <c r="U5"/>
    </row>
    <row r="6" spans="1:22" s="24" customFormat="1" ht="30" customHeight="1" x14ac:dyDescent="0.3">
      <c r="A6" s="20"/>
      <c r="B6" s="21" t="s">
        <v>10</v>
      </c>
      <c r="C6" s="22"/>
      <c r="D6" s="22"/>
      <c r="E6" s="22"/>
      <c r="F6" s="22"/>
      <c r="G6" s="23"/>
      <c r="H6" s="23"/>
      <c r="I6"/>
      <c r="J6"/>
      <c r="K6"/>
      <c r="L6"/>
      <c r="M6"/>
      <c r="N6"/>
      <c r="O6"/>
      <c r="P6"/>
      <c r="Q6"/>
      <c r="R6"/>
      <c r="S6"/>
      <c r="T6"/>
      <c r="U6"/>
    </row>
    <row r="7" spans="1:22" ht="30" customHeight="1" x14ac:dyDescent="0.35">
      <c r="A7" s="25">
        <v>60601000</v>
      </c>
      <c r="B7" s="26" t="s">
        <v>11</v>
      </c>
      <c r="C7" s="27"/>
      <c r="D7" s="28"/>
      <c r="E7" s="29"/>
      <c r="F7" s="27"/>
      <c r="G7" s="30"/>
      <c r="H7" s="30"/>
      <c r="I7"/>
      <c r="J7"/>
      <c r="K7"/>
      <c r="L7"/>
      <c r="M7"/>
      <c r="N7"/>
      <c r="O7"/>
      <c r="P7"/>
      <c r="Q7"/>
      <c r="R7"/>
      <c r="S7"/>
      <c r="T7"/>
      <c r="U7"/>
    </row>
    <row r="8" spans="1:22" ht="30" customHeight="1" x14ac:dyDescent="0.35">
      <c r="A8" s="31">
        <v>60600000</v>
      </c>
      <c r="B8" s="32" t="s">
        <v>12</v>
      </c>
      <c r="C8" s="27"/>
      <c r="D8" s="28"/>
      <c r="E8" s="33"/>
      <c r="F8" s="27"/>
      <c r="G8" s="30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 ht="23.25" x14ac:dyDescent="0.35">
      <c r="A9" s="34">
        <v>60610007</v>
      </c>
      <c r="B9" s="35" t="s">
        <v>13</v>
      </c>
      <c r="C9" s="27"/>
      <c r="D9" s="28"/>
      <c r="E9" s="33"/>
      <c r="F9" s="27"/>
      <c r="G9" s="30"/>
      <c r="H9" s="30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 ht="23.25" x14ac:dyDescent="0.35">
      <c r="A10" s="31">
        <v>60610000</v>
      </c>
      <c r="B10" s="36" t="s">
        <v>14</v>
      </c>
      <c r="C10" s="27"/>
      <c r="D10" s="28"/>
      <c r="E10" s="33"/>
      <c r="F10" s="27"/>
      <c r="G10" s="30"/>
      <c r="H10" s="30"/>
      <c r="I10"/>
      <c r="J10"/>
      <c r="K10" s="37" t="e">
        <f t="shared" ref="K10:K40" si="0">(C10-D10)/D10</f>
        <v>#DIV/0!</v>
      </c>
      <c r="L10"/>
      <c r="M10"/>
      <c r="N10"/>
      <c r="O10"/>
      <c r="P10"/>
      <c r="Q10"/>
      <c r="R10"/>
      <c r="S10"/>
      <c r="T10"/>
      <c r="U10"/>
    </row>
    <row r="11" spans="1:22" ht="23.25" x14ac:dyDescent="0.35">
      <c r="A11" s="31">
        <v>60610006</v>
      </c>
      <c r="B11" s="32" t="s">
        <v>15</v>
      </c>
      <c r="C11" s="27"/>
      <c r="D11" s="28"/>
      <c r="E11" s="33"/>
      <c r="F11" s="27"/>
      <c r="G11" s="30"/>
      <c r="H11" s="30"/>
      <c r="I11"/>
      <c r="J11" s="37" t="e">
        <f t="shared" ref="J11:J40" si="1">(D11-F11)/F11</f>
        <v>#DIV/0!</v>
      </c>
      <c r="K11"/>
      <c r="L11"/>
      <c r="M11"/>
      <c r="N11"/>
      <c r="O11"/>
      <c r="P11"/>
      <c r="Q11"/>
      <c r="R11"/>
      <c r="S11"/>
      <c r="T11"/>
      <c r="U11"/>
    </row>
    <row r="12" spans="1:22" ht="23.25" x14ac:dyDescent="0.35">
      <c r="A12" s="31">
        <v>60601003</v>
      </c>
      <c r="B12" s="32" t="s">
        <v>16</v>
      </c>
      <c r="C12" s="27"/>
      <c r="D12" s="28"/>
      <c r="E12" s="38"/>
      <c r="F12" s="27"/>
      <c r="G12" s="30"/>
      <c r="H12" s="30"/>
      <c r="I12"/>
      <c r="J12" s="37" t="e">
        <f t="shared" si="1"/>
        <v>#DIV/0!</v>
      </c>
      <c r="K12" s="37" t="e">
        <f t="shared" si="0"/>
        <v>#DIV/0!</v>
      </c>
      <c r="L12"/>
      <c r="M12"/>
      <c r="N12"/>
      <c r="O12"/>
      <c r="P12"/>
      <c r="Q12"/>
      <c r="R12"/>
      <c r="S12"/>
      <c r="T12"/>
      <c r="U12"/>
    </row>
    <row r="13" spans="1:22" ht="22.5" x14ac:dyDescent="0.3">
      <c r="A13" s="39" t="s">
        <v>17</v>
      </c>
      <c r="B13" s="40" t="s">
        <v>18</v>
      </c>
      <c r="C13" s="41"/>
      <c r="D13" s="42"/>
      <c r="E13" s="42"/>
      <c r="F13" s="41"/>
      <c r="G13" s="43"/>
      <c r="H13" s="4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2" ht="23.25" x14ac:dyDescent="0.35">
      <c r="A14" s="44">
        <v>60601000</v>
      </c>
      <c r="B14" s="45" t="s">
        <v>19</v>
      </c>
      <c r="C14" s="27"/>
      <c r="D14" s="46"/>
      <c r="E14" s="47"/>
      <c r="F14" s="27"/>
      <c r="G14" s="30"/>
      <c r="H14" s="48"/>
      <c r="I14"/>
      <c r="J14" s="37" t="e">
        <f t="shared" si="1"/>
        <v>#DIV/0!</v>
      </c>
      <c r="K14"/>
      <c r="L14"/>
      <c r="M14"/>
      <c r="N14"/>
      <c r="O14"/>
      <c r="P14"/>
      <c r="Q14"/>
      <c r="R14"/>
      <c r="S14"/>
      <c r="T14"/>
      <c r="U14"/>
    </row>
    <row r="15" spans="1:22" ht="22.5" x14ac:dyDescent="0.3">
      <c r="A15" s="39" t="s">
        <v>20</v>
      </c>
      <c r="B15" s="49" t="s">
        <v>18</v>
      </c>
      <c r="C15" s="41"/>
      <c r="D15" s="42"/>
      <c r="E15" s="42"/>
      <c r="F15" s="41"/>
      <c r="G15" s="43"/>
      <c r="H15" s="43"/>
      <c r="I15"/>
      <c r="J15" s="37" t="e">
        <f t="shared" si="1"/>
        <v>#DIV/0!</v>
      </c>
      <c r="K15"/>
      <c r="L15"/>
      <c r="M15"/>
      <c r="N15"/>
      <c r="O15"/>
      <c r="P15"/>
      <c r="Q15"/>
      <c r="R15"/>
      <c r="S15"/>
      <c r="T15"/>
      <c r="U15"/>
    </row>
    <row r="16" spans="1:22" ht="23.25" x14ac:dyDescent="0.3">
      <c r="A16" s="39"/>
      <c r="B16" s="50"/>
      <c r="C16" s="51"/>
      <c r="D16" s="52"/>
      <c r="E16" s="53"/>
      <c r="F16" s="51"/>
      <c r="G16" s="54"/>
      <c r="H16" s="54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ht="23.25" x14ac:dyDescent="0.35">
      <c r="A17" s="39"/>
      <c r="B17" s="55"/>
      <c r="C17" s="56"/>
      <c r="D17" s="52"/>
      <c r="E17" s="53"/>
      <c r="F17" s="56"/>
      <c r="G17" s="48"/>
      <c r="H17" s="48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60" customFormat="1" ht="23.25" x14ac:dyDescent="0.25">
      <c r="A18" s="57"/>
      <c r="B18" s="45" t="s">
        <v>21</v>
      </c>
      <c r="C18" s="58"/>
      <c r="D18" s="52"/>
      <c r="E18" s="53"/>
      <c r="F18" s="58"/>
      <c r="G18" s="59"/>
      <c r="H18" s="59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ht="23.25" x14ac:dyDescent="0.25">
      <c r="B19" s="61" t="s">
        <v>22</v>
      </c>
      <c r="C19" s="62"/>
      <c r="D19" s="63"/>
      <c r="E19" s="53"/>
      <c r="F19" s="62"/>
      <c r="G19" s="64"/>
      <c r="H19" s="64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ht="28.9" customHeight="1" x14ac:dyDescent="0.35">
      <c r="A20" s="44">
        <v>60801000</v>
      </c>
      <c r="B20" s="35" t="s">
        <v>23</v>
      </c>
      <c r="C20" s="27"/>
      <c r="D20" s="28"/>
      <c r="E20" s="33"/>
      <c r="F20" s="27"/>
      <c r="G20" s="30"/>
      <c r="H20" s="3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ht="22.5" x14ac:dyDescent="0.3">
      <c r="A21" s="39" t="s">
        <v>20</v>
      </c>
      <c r="B21" s="50" t="s">
        <v>18</v>
      </c>
      <c r="C21" s="65"/>
      <c r="D21" s="66"/>
      <c r="E21" s="67"/>
      <c r="F21" s="65"/>
      <c r="G21" s="68"/>
      <c r="H21" s="68"/>
      <c r="I21" s="37">
        <f t="shared" ref="I21" si="2">SUM(I20:I20)</f>
        <v>0</v>
      </c>
      <c r="J21"/>
      <c r="K21"/>
      <c r="L21"/>
      <c r="M21"/>
      <c r="N21"/>
      <c r="O21"/>
      <c r="P21"/>
      <c r="Q21"/>
      <c r="R21"/>
      <c r="S21"/>
      <c r="T21"/>
      <c r="U21"/>
    </row>
    <row r="22" spans="1:21" ht="23.25" x14ac:dyDescent="0.35">
      <c r="A22" s="57"/>
      <c r="B22" s="32"/>
      <c r="C22" s="69"/>
      <c r="D22" s="70"/>
      <c r="E22" s="71"/>
      <c r="F22" s="69"/>
      <c r="G22" s="72"/>
      <c r="H22" s="7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ht="23.25" x14ac:dyDescent="0.35">
      <c r="B23" s="61" t="s">
        <v>24</v>
      </c>
      <c r="C23" s="56"/>
      <c r="D23" s="73"/>
      <c r="E23" s="71"/>
      <c r="F23" s="56"/>
      <c r="G23" s="48"/>
      <c r="H23" s="48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ht="23.25" x14ac:dyDescent="0.35">
      <c r="A24" s="44">
        <v>60804000</v>
      </c>
      <c r="B24" s="32" t="s">
        <v>25</v>
      </c>
      <c r="C24" s="27"/>
      <c r="D24" s="28"/>
      <c r="E24" s="74"/>
      <c r="F24" s="27"/>
      <c r="G24" s="30"/>
      <c r="H24" s="30"/>
      <c r="I24"/>
      <c r="J24" s="37" t="e">
        <f t="shared" si="1"/>
        <v>#DIV/0!</v>
      </c>
      <c r="K24" s="37" t="e">
        <f t="shared" si="0"/>
        <v>#DIV/0!</v>
      </c>
      <c r="L24"/>
      <c r="M24"/>
      <c r="N24"/>
      <c r="O24"/>
      <c r="P24"/>
      <c r="Q24"/>
      <c r="R24"/>
      <c r="S24"/>
      <c r="T24"/>
      <c r="U24"/>
    </row>
    <row r="25" spans="1:21" ht="45" x14ac:dyDescent="0.35">
      <c r="A25" s="39"/>
      <c r="B25" s="35" t="s">
        <v>26</v>
      </c>
      <c r="C25" s="27"/>
      <c r="D25" s="28"/>
      <c r="E25" s="75"/>
      <c r="F25" s="27"/>
      <c r="G25" s="30"/>
      <c r="H25" s="30"/>
      <c r="I25"/>
      <c r="J25" s="37" t="e">
        <f t="shared" si="1"/>
        <v>#DIV/0!</v>
      </c>
      <c r="K25" s="37" t="e">
        <f t="shared" si="0"/>
        <v>#DIV/0!</v>
      </c>
      <c r="L25"/>
      <c r="M25"/>
      <c r="N25"/>
      <c r="O25"/>
      <c r="P25"/>
      <c r="Q25"/>
      <c r="R25"/>
      <c r="S25"/>
      <c r="T25"/>
      <c r="U25"/>
    </row>
    <row r="26" spans="1:21" ht="45" x14ac:dyDescent="0.35">
      <c r="A26" s="39"/>
      <c r="B26" s="35" t="s">
        <v>27</v>
      </c>
      <c r="C26" s="27"/>
      <c r="D26" s="28"/>
      <c r="E26" s="75"/>
      <c r="F26" s="27"/>
      <c r="G26" s="30"/>
      <c r="H26" s="30"/>
      <c r="I26"/>
      <c r="J26" s="37" t="e">
        <f t="shared" si="1"/>
        <v>#DIV/0!</v>
      </c>
      <c r="K26" s="37" t="e">
        <f t="shared" si="0"/>
        <v>#DIV/0!</v>
      </c>
      <c r="L26"/>
      <c r="M26"/>
      <c r="N26"/>
      <c r="O26"/>
      <c r="P26"/>
      <c r="Q26"/>
      <c r="R26"/>
      <c r="S26"/>
      <c r="T26"/>
      <c r="U26"/>
    </row>
    <row r="27" spans="1:21" ht="45" x14ac:dyDescent="0.35">
      <c r="A27" s="39"/>
      <c r="B27" s="35" t="s">
        <v>28</v>
      </c>
      <c r="C27" s="27"/>
      <c r="D27" s="76"/>
      <c r="E27" s="77"/>
      <c r="F27" s="27"/>
      <c r="G27" s="30"/>
      <c r="H27" s="48"/>
      <c r="I27"/>
      <c r="J27" s="37" t="e">
        <f t="shared" si="1"/>
        <v>#DIV/0!</v>
      </c>
      <c r="K27" t="e">
        <f t="shared" si="0"/>
        <v>#DIV/0!</v>
      </c>
      <c r="L27"/>
      <c r="M27"/>
      <c r="N27"/>
      <c r="O27"/>
      <c r="P27"/>
      <c r="Q27"/>
      <c r="R27"/>
      <c r="S27"/>
      <c r="T27"/>
      <c r="U27"/>
    </row>
    <row r="28" spans="1:21" ht="45" x14ac:dyDescent="0.35">
      <c r="A28" s="31">
        <v>60901000</v>
      </c>
      <c r="B28" s="35" t="s">
        <v>29</v>
      </c>
      <c r="C28" s="27"/>
      <c r="D28" s="28"/>
      <c r="E28" s="78"/>
      <c r="F28" s="27"/>
      <c r="G28" s="30"/>
      <c r="H28" s="30"/>
      <c r="I28"/>
      <c r="J28" s="37" t="e">
        <f t="shared" si="1"/>
        <v>#DIV/0!</v>
      </c>
      <c r="K28" s="37" t="e">
        <f t="shared" si="0"/>
        <v>#DIV/0!</v>
      </c>
      <c r="L28"/>
      <c r="M28"/>
      <c r="N28"/>
      <c r="O28"/>
      <c r="P28"/>
      <c r="Q28"/>
      <c r="R28"/>
      <c r="S28"/>
      <c r="T28"/>
      <c r="U28"/>
    </row>
    <row r="29" spans="1:21" ht="23.25" x14ac:dyDescent="0.35">
      <c r="A29" s="39" t="s">
        <v>30</v>
      </c>
      <c r="B29" s="35" t="s">
        <v>31</v>
      </c>
      <c r="C29" s="27"/>
      <c r="D29" s="28"/>
      <c r="E29" s="78"/>
      <c r="F29" s="27"/>
      <c r="G29" s="30"/>
      <c r="H29" s="30"/>
      <c r="I29"/>
      <c r="J29" s="37" t="e">
        <f t="shared" si="1"/>
        <v>#DIV/0!</v>
      </c>
      <c r="K29" s="37" t="e">
        <f t="shared" si="0"/>
        <v>#DIV/0!</v>
      </c>
      <c r="L29"/>
      <c r="M29"/>
      <c r="N29"/>
      <c r="O29"/>
      <c r="P29"/>
      <c r="Q29"/>
      <c r="R29"/>
      <c r="S29"/>
      <c r="T29"/>
      <c r="U29"/>
    </row>
    <row r="30" spans="1:21" ht="45" x14ac:dyDescent="0.35">
      <c r="A30" s="39"/>
      <c r="B30" s="35" t="s">
        <v>32</v>
      </c>
      <c r="C30" s="27"/>
      <c r="D30" s="28"/>
      <c r="E30" s="78"/>
      <c r="F30" s="27"/>
      <c r="G30" s="30"/>
      <c r="H30" s="30"/>
      <c r="I30"/>
      <c r="J30" s="37" t="e">
        <f t="shared" si="1"/>
        <v>#DIV/0!</v>
      </c>
      <c r="K30" s="37" t="e">
        <f t="shared" si="0"/>
        <v>#DIV/0!</v>
      </c>
      <c r="L30"/>
      <c r="M30"/>
      <c r="N30"/>
      <c r="O30"/>
      <c r="P30"/>
      <c r="Q30"/>
      <c r="R30"/>
      <c r="S30"/>
      <c r="T30"/>
      <c r="U30"/>
    </row>
    <row r="31" spans="1:21" ht="23.25" x14ac:dyDescent="0.35">
      <c r="A31" s="31">
        <v>65300000</v>
      </c>
      <c r="B31" s="35" t="s">
        <v>33</v>
      </c>
      <c r="C31" s="27"/>
      <c r="D31" s="76"/>
      <c r="E31" s="78"/>
      <c r="F31" s="27"/>
      <c r="G31" s="30"/>
      <c r="H31" s="48"/>
      <c r="I31"/>
      <c r="J31" s="37" t="e">
        <f t="shared" si="1"/>
        <v>#DIV/0!</v>
      </c>
      <c r="K31" t="e">
        <f t="shared" si="0"/>
        <v>#DIV/0!</v>
      </c>
      <c r="L31"/>
      <c r="M31"/>
      <c r="N31"/>
      <c r="O31"/>
      <c r="P31"/>
      <c r="Q31"/>
      <c r="R31"/>
      <c r="S31"/>
      <c r="T31"/>
      <c r="U31"/>
    </row>
    <row r="32" spans="1:21" ht="23.25" x14ac:dyDescent="0.35">
      <c r="A32" s="31">
        <v>61601000</v>
      </c>
      <c r="B32" s="35" t="s">
        <v>34</v>
      </c>
      <c r="C32" s="27"/>
      <c r="D32" s="28"/>
      <c r="E32" s="78"/>
      <c r="F32" s="27"/>
      <c r="G32" s="30"/>
      <c r="H32" s="30"/>
      <c r="I32"/>
      <c r="J32" s="37" t="e">
        <f t="shared" si="1"/>
        <v>#DIV/0!</v>
      </c>
      <c r="K32" s="37" t="e">
        <f t="shared" si="0"/>
        <v>#DIV/0!</v>
      </c>
      <c r="L32"/>
      <c r="M32"/>
      <c r="N32"/>
      <c r="O32"/>
      <c r="P32"/>
      <c r="Q32"/>
      <c r="R32"/>
      <c r="S32"/>
      <c r="T32"/>
      <c r="U32"/>
    </row>
    <row r="33" spans="1:21" ht="23.25" x14ac:dyDescent="0.35">
      <c r="A33" s="31">
        <v>60612000</v>
      </c>
      <c r="B33" s="35" t="s">
        <v>35</v>
      </c>
      <c r="C33" s="27"/>
      <c r="D33" s="28"/>
      <c r="E33" s="78"/>
      <c r="F33" s="27"/>
      <c r="G33" s="30"/>
      <c r="H33" s="30"/>
      <c r="I33"/>
      <c r="J33" s="37" t="e">
        <f t="shared" si="1"/>
        <v>#DIV/0!</v>
      </c>
      <c r="K33" s="37" t="e">
        <f t="shared" si="0"/>
        <v>#DIV/0!</v>
      </c>
      <c r="L33"/>
      <c r="M33"/>
      <c r="N33"/>
      <c r="O33"/>
      <c r="P33"/>
      <c r="Q33"/>
      <c r="R33"/>
      <c r="S33"/>
      <c r="T33"/>
      <c r="U33"/>
    </row>
    <row r="34" spans="1:21" s="60" customFormat="1" ht="45" x14ac:dyDescent="0.35">
      <c r="A34" s="31">
        <v>6061000</v>
      </c>
      <c r="B34" s="35" t="s">
        <v>36</v>
      </c>
      <c r="C34" s="27"/>
      <c r="D34" s="28"/>
      <c r="E34" s="78"/>
      <c r="F34" s="27"/>
      <c r="G34" s="30"/>
      <c r="H34" s="30"/>
      <c r="I34"/>
      <c r="J34" s="37" t="e">
        <f t="shared" si="1"/>
        <v>#DIV/0!</v>
      </c>
      <c r="K34" s="37" t="e">
        <f t="shared" si="0"/>
        <v>#DIV/0!</v>
      </c>
      <c r="L34"/>
      <c r="M34"/>
      <c r="N34"/>
      <c r="O34"/>
      <c r="P34"/>
      <c r="Q34"/>
      <c r="R34"/>
      <c r="S34"/>
      <c r="T34"/>
      <c r="U34"/>
    </row>
    <row r="35" spans="1:21" ht="45" x14ac:dyDescent="0.35">
      <c r="A35" s="31">
        <v>60608000</v>
      </c>
      <c r="B35" s="35" t="s">
        <v>37</v>
      </c>
      <c r="C35" s="27"/>
      <c r="D35" s="28"/>
      <c r="E35" s="78"/>
      <c r="F35" s="27"/>
      <c r="G35" s="30"/>
      <c r="H35" s="30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ht="45" x14ac:dyDescent="0.35">
      <c r="A36" s="31">
        <v>60609001</v>
      </c>
      <c r="B36" s="35" t="s">
        <v>38</v>
      </c>
      <c r="C36" s="27"/>
      <c r="D36" s="28"/>
      <c r="E36" s="78"/>
      <c r="F36" s="27"/>
      <c r="G36" s="30"/>
      <c r="H36" s="30"/>
      <c r="I36"/>
      <c r="J36" s="37" t="e">
        <f t="shared" si="1"/>
        <v>#DIV/0!</v>
      </c>
      <c r="K36" s="37" t="e">
        <f t="shared" si="0"/>
        <v>#DIV/0!</v>
      </c>
      <c r="L36"/>
      <c r="M36"/>
      <c r="N36"/>
      <c r="O36"/>
      <c r="P36"/>
      <c r="Q36"/>
      <c r="R36"/>
      <c r="S36"/>
      <c r="T36"/>
      <c r="U36"/>
    </row>
    <row r="37" spans="1:21" ht="22.5" x14ac:dyDescent="0.3">
      <c r="A37" s="39" t="s">
        <v>20</v>
      </c>
      <c r="B37" s="49" t="s">
        <v>18</v>
      </c>
      <c r="C37" s="79"/>
      <c r="D37" s="41"/>
      <c r="E37" s="79"/>
      <c r="F37" s="79"/>
      <c r="G37" s="80"/>
      <c r="H37" s="80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ht="23.25" x14ac:dyDescent="0.35">
      <c r="A38" s="57"/>
      <c r="B38" s="32"/>
      <c r="C38" s="58"/>
      <c r="D38" s="76"/>
      <c r="E38" s="81"/>
      <c r="F38" s="58"/>
      <c r="G38" s="59"/>
      <c r="H38" s="59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ht="23.25" x14ac:dyDescent="0.35">
      <c r="B39" s="61" t="s">
        <v>39</v>
      </c>
      <c r="C39" s="62"/>
      <c r="D39" s="76"/>
      <c r="E39" s="81"/>
      <c r="F39" s="62"/>
      <c r="G39" s="64"/>
      <c r="H39" s="64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ht="23.25" x14ac:dyDescent="0.35">
      <c r="A40" s="44">
        <v>60120001</v>
      </c>
      <c r="B40" s="82" t="s">
        <v>40</v>
      </c>
      <c r="C40" s="27"/>
      <c r="D40" s="28"/>
      <c r="E40" s="78"/>
      <c r="F40" s="27"/>
      <c r="G40" s="30"/>
      <c r="H40" s="30"/>
      <c r="I40"/>
      <c r="J40" s="37" t="e">
        <f t="shared" si="1"/>
        <v>#DIV/0!</v>
      </c>
      <c r="K40" s="37" t="e">
        <f t="shared" si="0"/>
        <v>#DIV/0!</v>
      </c>
      <c r="L40"/>
      <c r="M40"/>
      <c r="N40"/>
      <c r="O40"/>
      <c r="P40"/>
      <c r="Q40"/>
      <c r="R40"/>
      <c r="S40"/>
      <c r="T40"/>
      <c r="U40"/>
    </row>
    <row r="41" spans="1:21" ht="23.25" x14ac:dyDescent="0.35">
      <c r="A41" s="31">
        <v>62300000</v>
      </c>
      <c r="B41" s="83" t="s">
        <v>41</v>
      </c>
      <c r="C41" s="84"/>
      <c r="D41" s="28"/>
      <c r="E41" s="78"/>
      <c r="F41" s="84"/>
      <c r="G41" s="85"/>
      <c r="H41" s="85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ht="45" x14ac:dyDescent="0.35">
      <c r="A42" s="31">
        <v>62310000</v>
      </c>
      <c r="B42" s="83" t="s">
        <v>42</v>
      </c>
      <c r="C42" s="27"/>
      <c r="D42" s="28"/>
      <c r="E42" s="78"/>
      <c r="F42" s="27"/>
      <c r="G42" s="30"/>
      <c r="H42" s="30"/>
      <c r="I42"/>
      <c r="J42" s="37" t="e">
        <f t="shared" ref="J42:J71" si="3">(D42-F42)/F42</f>
        <v>#DIV/0!</v>
      </c>
      <c r="K42"/>
      <c r="L42"/>
      <c r="M42"/>
      <c r="N42"/>
      <c r="O42"/>
      <c r="P42"/>
      <c r="Q42"/>
      <c r="R42"/>
      <c r="S42"/>
      <c r="T42"/>
      <c r="U42"/>
    </row>
    <row r="43" spans="1:21" ht="23.25" x14ac:dyDescent="0.35">
      <c r="A43" s="31">
        <v>60609000</v>
      </c>
      <c r="B43" s="86" t="s">
        <v>43</v>
      </c>
      <c r="C43" s="27"/>
      <c r="D43" s="28"/>
      <c r="E43" s="81"/>
      <c r="F43" s="27"/>
      <c r="G43" s="30"/>
      <c r="H43" s="30"/>
      <c r="I43"/>
      <c r="J43" s="37" t="e">
        <f t="shared" si="3"/>
        <v>#DIV/0!</v>
      </c>
      <c r="K43" s="37" t="e">
        <f t="shared" ref="K43:K70" si="4">(C43-D43)/D43</f>
        <v>#DIV/0!</v>
      </c>
      <c r="L43"/>
      <c r="M43"/>
      <c r="N43"/>
      <c r="O43"/>
      <c r="P43"/>
      <c r="Q43"/>
      <c r="R43"/>
      <c r="S43"/>
      <c r="T43"/>
      <c r="U43"/>
    </row>
    <row r="44" spans="1:21" ht="22.5" x14ac:dyDescent="0.25">
      <c r="A44" s="39" t="s">
        <v>20</v>
      </c>
      <c r="B44" s="49" t="s">
        <v>18</v>
      </c>
      <c r="C44" s="79"/>
      <c r="D44" s="79"/>
      <c r="E44" s="79"/>
      <c r="F44" s="79"/>
      <c r="G44" s="80"/>
      <c r="H44" s="80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ht="23.25" x14ac:dyDescent="0.35">
      <c r="A45" s="57"/>
      <c r="B45" s="35"/>
      <c r="C45" s="58"/>
      <c r="D45" s="76"/>
      <c r="E45" s="81"/>
      <c r="F45" s="58"/>
      <c r="G45" s="59"/>
      <c r="H45" s="59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ht="23.25" x14ac:dyDescent="0.35">
      <c r="A46" s="57" t="s">
        <v>44</v>
      </c>
      <c r="B46" s="87" t="s">
        <v>44</v>
      </c>
      <c r="C46" s="58"/>
      <c r="D46" s="76"/>
      <c r="E46" s="81"/>
      <c r="F46" s="58"/>
      <c r="G46" s="59"/>
      <c r="H46" s="59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ht="23.25" x14ac:dyDescent="0.35">
      <c r="A47" s="44">
        <v>62401000</v>
      </c>
      <c r="B47" s="35" t="s">
        <v>45</v>
      </c>
      <c r="C47" s="27"/>
      <c r="D47" s="28"/>
      <c r="E47" s="78"/>
      <c r="F47" s="27"/>
      <c r="G47" s="30"/>
      <c r="H47" s="30"/>
      <c r="I47"/>
      <c r="J47" s="37" t="e">
        <f t="shared" si="3"/>
        <v>#DIV/0!</v>
      </c>
      <c r="K47" s="37" t="e">
        <f t="shared" si="4"/>
        <v>#DIV/0!</v>
      </c>
      <c r="L47"/>
      <c r="M47"/>
      <c r="N47"/>
      <c r="O47"/>
      <c r="P47"/>
      <c r="Q47"/>
      <c r="R47"/>
      <c r="S47"/>
      <c r="T47"/>
      <c r="U47"/>
    </row>
    <row r="48" spans="1:21" ht="23.25" x14ac:dyDescent="0.35">
      <c r="A48" s="88">
        <v>62402000</v>
      </c>
      <c r="B48" s="35" t="s">
        <v>46</v>
      </c>
      <c r="C48" s="27"/>
      <c r="D48" s="28"/>
      <c r="E48" s="78"/>
      <c r="F48" s="27"/>
      <c r="G48" s="30"/>
      <c r="H48" s="30"/>
      <c r="I48"/>
      <c r="J48" s="37" t="e">
        <f t="shared" si="3"/>
        <v>#DIV/0!</v>
      </c>
      <c r="K48" s="37" t="e">
        <f t="shared" si="4"/>
        <v>#DIV/0!</v>
      </c>
      <c r="L48"/>
      <c r="M48"/>
      <c r="N48"/>
      <c r="O48"/>
      <c r="P48"/>
      <c r="Q48"/>
      <c r="R48"/>
      <c r="S48"/>
      <c r="T48"/>
      <c r="U48"/>
    </row>
    <row r="49" spans="1:52" ht="23.25" x14ac:dyDescent="0.35">
      <c r="A49" s="31">
        <v>65102001</v>
      </c>
      <c r="B49" s="35" t="s">
        <v>47</v>
      </c>
      <c r="C49" s="27"/>
      <c r="D49" s="28"/>
      <c r="E49" s="78"/>
      <c r="F49" s="27"/>
      <c r="G49" s="30"/>
      <c r="H49" s="30"/>
      <c r="I49"/>
      <c r="J49" s="37" t="e">
        <f t="shared" si="3"/>
        <v>#DIV/0!</v>
      </c>
      <c r="K49" s="37" t="e">
        <f t="shared" si="4"/>
        <v>#DIV/0!</v>
      </c>
      <c r="L49"/>
      <c r="M49"/>
      <c r="N49"/>
      <c r="O49"/>
      <c r="P49"/>
      <c r="Q49"/>
      <c r="R49"/>
      <c r="S49"/>
      <c r="T49"/>
      <c r="U49"/>
    </row>
    <row r="50" spans="1:52" ht="23.25" x14ac:dyDescent="0.35">
      <c r="A50" s="31">
        <v>62501000</v>
      </c>
      <c r="B50" s="35" t="s">
        <v>48</v>
      </c>
      <c r="C50" s="27"/>
      <c r="D50" s="28"/>
      <c r="E50" s="78"/>
      <c r="F50" s="27"/>
      <c r="G50" s="30"/>
      <c r="H50" s="30"/>
      <c r="I50"/>
      <c r="J50" s="37" t="e">
        <f t="shared" si="3"/>
        <v>#DIV/0!</v>
      </c>
      <c r="K50" s="37" t="e">
        <f t="shared" si="4"/>
        <v>#DIV/0!</v>
      </c>
      <c r="L50"/>
      <c r="M50"/>
      <c r="N50"/>
      <c r="O50"/>
      <c r="P50"/>
      <c r="Q50"/>
      <c r="R50"/>
      <c r="S50"/>
      <c r="T50"/>
      <c r="U50"/>
    </row>
    <row r="51" spans="1:52" ht="23.25" x14ac:dyDescent="0.35">
      <c r="A51" s="31">
        <v>65102002</v>
      </c>
      <c r="B51" s="35" t="s">
        <v>49</v>
      </c>
      <c r="C51" s="27"/>
      <c r="D51" s="28"/>
      <c r="E51" s="78"/>
      <c r="F51" s="27"/>
      <c r="G51" s="30"/>
      <c r="H51" s="30"/>
      <c r="I51"/>
      <c r="J51" s="37" t="e">
        <f t="shared" si="3"/>
        <v>#DIV/0!</v>
      </c>
      <c r="K51" s="37" t="e">
        <f t="shared" si="4"/>
        <v>#DIV/0!</v>
      </c>
      <c r="L51"/>
      <c r="M51"/>
      <c r="N51"/>
      <c r="O51"/>
      <c r="P51"/>
      <c r="Q51"/>
      <c r="R51"/>
      <c r="S51"/>
      <c r="T51"/>
      <c r="U51"/>
    </row>
    <row r="52" spans="1:52" ht="23.25" x14ac:dyDescent="0.35">
      <c r="A52" s="31">
        <v>62502000</v>
      </c>
      <c r="B52" s="35" t="s">
        <v>50</v>
      </c>
      <c r="C52" s="27"/>
      <c r="D52" s="28"/>
      <c r="E52" s="78"/>
      <c r="F52" s="27"/>
      <c r="G52" s="30"/>
      <c r="H52" s="48"/>
      <c r="I52"/>
      <c r="J52" s="37" t="e">
        <f t="shared" si="3"/>
        <v>#DIV/0!</v>
      </c>
      <c r="K52"/>
      <c r="L52"/>
      <c r="M52"/>
      <c r="N52"/>
      <c r="O52"/>
      <c r="P52"/>
      <c r="Q52"/>
      <c r="R52"/>
      <c r="S52"/>
      <c r="T52"/>
      <c r="U52"/>
    </row>
    <row r="53" spans="1:52" ht="22.5" x14ac:dyDescent="0.3">
      <c r="A53" s="39" t="s">
        <v>20</v>
      </c>
      <c r="B53" s="50" t="s">
        <v>18</v>
      </c>
      <c r="C53" s="89"/>
      <c r="D53" s="66"/>
      <c r="E53" s="90"/>
      <c r="F53" s="89"/>
      <c r="G53" s="91"/>
      <c r="H53" s="91"/>
      <c r="I53"/>
      <c r="J53" s="37" t="e">
        <f t="shared" si="3"/>
        <v>#DIV/0!</v>
      </c>
      <c r="K53" s="37" t="e">
        <f t="shared" si="4"/>
        <v>#DIV/0!</v>
      </c>
      <c r="L53"/>
      <c r="M53"/>
      <c r="N53"/>
      <c r="O53"/>
      <c r="P53"/>
      <c r="Q53"/>
      <c r="R53"/>
      <c r="S53"/>
      <c r="T53"/>
      <c r="U53"/>
    </row>
    <row r="54" spans="1:52" ht="23.25" x14ac:dyDescent="0.35">
      <c r="A54" s="57"/>
      <c r="B54" s="35"/>
      <c r="C54" s="58"/>
      <c r="D54" s="76"/>
      <c r="E54" s="81"/>
      <c r="F54" s="58"/>
      <c r="G54" s="59"/>
      <c r="H54" s="59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52" ht="23.25" x14ac:dyDescent="0.35">
      <c r="A55" s="39" t="s">
        <v>51</v>
      </c>
      <c r="B55" s="21" t="s">
        <v>51</v>
      </c>
      <c r="C55" s="92"/>
      <c r="D55" s="76"/>
      <c r="E55" s="81"/>
      <c r="F55" s="92"/>
      <c r="G55" s="93"/>
      <c r="H55" s="93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52" ht="23.25" x14ac:dyDescent="0.35">
      <c r="A56" s="44">
        <v>60500000</v>
      </c>
      <c r="B56" s="35" t="s">
        <v>52</v>
      </c>
      <c r="C56" s="94"/>
      <c r="D56" s="28"/>
      <c r="E56" s="78"/>
      <c r="F56" s="94"/>
      <c r="G56" s="95"/>
      <c r="H56" s="95"/>
      <c r="I56"/>
      <c r="J56" s="37" t="e">
        <f t="shared" si="3"/>
        <v>#DIV/0!</v>
      </c>
      <c r="K56" s="37" t="e">
        <f t="shared" si="4"/>
        <v>#DIV/0!</v>
      </c>
      <c r="L56"/>
      <c r="M56"/>
      <c r="N56"/>
      <c r="O56"/>
      <c r="P56"/>
      <c r="Q56"/>
      <c r="R56"/>
      <c r="S56"/>
      <c r="T56"/>
      <c r="U56"/>
    </row>
    <row r="57" spans="1:52" ht="23.25" x14ac:dyDescent="0.35">
      <c r="A57" s="57"/>
      <c r="B57" s="35" t="s">
        <v>53</v>
      </c>
      <c r="C57" s="94"/>
      <c r="D57" s="28"/>
      <c r="E57" s="78"/>
      <c r="F57" s="94"/>
      <c r="G57" s="95"/>
      <c r="H57" s="95"/>
      <c r="I57"/>
      <c r="J57" s="37" t="e">
        <f t="shared" si="3"/>
        <v>#DIV/0!</v>
      </c>
      <c r="K57" s="37" t="e">
        <f t="shared" si="4"/>
        <v>#DIV/0!</v>
      </c>
      <c r="L57"/>
      <c r="M57"/>
      <c r="N57"/>
      <c r="O57"/>
      <c r="P57"/>
      <c r="Q57"/>
      <c r="R57"/>
      <c r="S57"/>
      <c r="T57"/>
      <c r="U57"/>
    </row>
    <row r="58" spans="1:52" ht="23.25" x14ac:dyDescent="0.35">
      <c r="A58" s="31">
        <v>60500004</v>
      </c>
      <c r="B58" s="35" t="s">
        <v>54</v>
      </c>
      <c r="C58" s="94"/>
      <c r="D58" s="28"/>
      <c r="E58" s="78"/>
      <c r="F58" s="94"/>
      <c r="G58" s="95"/>
      <c r="H58" s="95"/>
      <c r="I58"/>
      <c r="J58" s="37" t="e">
        <f t="shared" si="3"/>
        <v>#DIV/0!</v>
      </c>
      <c r="K58" s="37" t="e">
        <f t="shared" si="4"/>
        <v>#DIV/0!</v>
      </c>
      <c r="L58"/>
      <c r="M58"/>
      <c r="N58"/>
      <c r="O58"/>
      <c r="P58"/>
      <c r="Q58"/>
      <c r="R58"/>
      <c r="S58"/>
      <c r="T58"/>
      <c r="U58"/>
    </row>
    <row r="59" spans="1:52" ht="28.9" customHeight="1" x14ac:dyDescent="0.35">
      <c r="A59" s="31">
        <v>60500005</v>
      </c>
      <c r="B59" s="35" t="s">
        <v>55</v>
      </c>
      <c r="C59" s="94"/>
      <c r="D59" s="28"/>
      <c r="E59" s="78"/>
      <c r="F59" s="94"/>
      <c r="G59" s="95"/>
      <c r="H59" s="95"/>
      <c r="I59"/>
      <c r="J59" s="37" t="e">
        <f t="shared" si="3"/>
        <v>#DIV/0!</v>
      </c>
      <c r="K59" s="37" t="e">
        <f t="shared" si="4"/>
        <v>#DIV/0!</v>
      </c>
      <c r="L59"/>
      <c r="M59"/>
      <c r="N59"/>
      <c r="O59"/>
      <c r="P59"/>
      <c r="Q59"/>
      <c r="R59"/>
      <c r="S59"/>
      <c r="T59"/>
      <c r="U59"/>
    </row>
    <row r="60" spans="1:52" ht="22.5" x14ac:dyDescent="0.3">
      <c r="A60" s="31">
        <v>61502000</v>
      </c>
      <c r="B60" s="96" t="s">
        <v>56</v>
      </c>
      <c r="C60" s="79"/>
      <c r="D60" s="41"/>
      <c r="E60" s="41"/>
      <c r="F60" s="79"/>
      <c r="G60" s="80"/>
      <c r="H60" s="80"/>
      <c r="I60"/>
      <c r="J60" s="37" t="e">
        <f t="shared" si="3"/>
        <v>#DIV/0!</v>
      </c>
      <c r="K60" s="37" t="e">
        <f t="shared" si="4"/>
        <v>#DIV/0!</v>
      </c>
      <c r="L60"/>
      <c r="M60"/>
      <c r="N60"/>
      <c r="O60"/>
      <c r="P60"/>
      <c r="Q60"/>
      <c r="R60"/>
      <c r="S60"/>
      <c r="T60"/>
      <c r="U60"/>
    </row>
    <row r="61" spans="1:52" ht="45" x14ac:dyDescent="0.35">
      <c r="A61" s="31">
        <v>61501000</v>
      </c>
      <c r="B61" s="35" t="s">
        <v>57</v>
      </c>
      <c r="C61" s="94"/>
      <c r="D61" s="28"/>
      <c r="E61" s="33"/>
      <c r="F61" s="94"/>
      <c r="G61" s="95"/>
      <c r="H61" s="95"/>
      <c r="I61"/>
      <c r="J61" s="37" t="e">
        <f t="shared" si="3"/>
        <v>#DIV/0!</v>
      </c>
      <c r="K61" s="37" t="e">
        <f t="shared" si="4"/>
        <v>#DIV/0!</v>
      </c>
      <c r="L61"/>
      <c r="M61"/>
      <c r="N61"/>
      <c r="O61"/>
      <c r="P61"/>
      <c r="Q61"/>
      <c r="R61"/>
      <c r="S61"/>
      <c r="T61"/>
      <c r="U61"/>
      <c r="AZ61"/>
    </row>
    <row r="62" spans="1:52" ht="45" x14ac:dyDescent="0.35">
      <c r="A62" s="31">
        <v>61506000</v>
      </c>
      <c r="B62" s="35" t="s">
        <v>58</v>
      </c>
      <c r="C62" s="94"/>
      <c r="D62" s="28"/>
      <c r="E62" s="33"/>
      <c r="F62" s="94"/>
      <c r="G62" s="95"/>
      <c r="H62" s="95"/>
      <c r="I62"/>
      <c r="J62" s="37" t="e">
        <f t="shared" si="3"/>
        <v>#DIV/0!</v>
      </c>
      <c r="K62" s="37" t="e">
        <f t="shared" si="4"/>
        <v>#DIV/0!</v>
      </c>
      <c r="L62"/>
      <c r="M62"/>
      <c r="N62"/>
      <c r="O62"/>
      <c r="P62"/>
      <c r="Q62"/>
      <c r="R62"/>
      <c r="S62"/>
      <c r="T62"/>
      <c r="U62"/>
    </row>
    <row r="63" spans="1:52" ht="45" x14ac:dyDescent="0.35">
      <c r="A63" s="31">
        <v>61508000</v>
      </c>
      <c r="B63" s="35" t="s">
        <v>59</v>
      </c>
      <c r="C63" s="94"/>
      <c r="D63" s="28"/>
      <c r="E63" s="33"/>
      <c r="F63" s="94"/>
      <c r="G63" s="95"/>
      <c r="H63" s="95"/>
      <c r="I63"/>
      <c r="J63" s="37" t="e">
        <f t="shared" si="3"/>
        <v>#DIV/0!</v>
      </c>
      <c r="K63" s="37" t="e">
        <f t="shared" si="4"/>
        <v>#DIV/0!</v>
      </c>
      <c r="L63"/>
      <c r="M63"/>
      <c r="N63"/>
      <c r="O63"/>
      <c r="P63"/>
      <c r="Q63"/>
      <c r="R63"/>
      <c r="S63"/>
      <c r="T63"/>
      <c r="U63"/>
    </row>
    <row r="64" spans="1:52" ht="23.25" x14ac:dyDescent="0.35">
      <c r="A64" s="31">
        <v>61503000</v>
      </c>
      <c r="B64" s="35" t="s">
        <v>60</v>
      </c>
      <c r="C64" s="94"/>
      <c r="D64" s="28"/>
      <c r="E64" s="33"/>
      <c r="F64" s="94"/>
      <c r="G64" s="95"/>
      <c r="H64" s="93"/>
      <c r="I64"/>
      <c r="J64" s="37" t="e">
        <f t="shared" si="3"/>
        <v>#DIV/0!</v>
      </c>
      <c r="K64" t="e">
        <f t="shared" si="4"/>
        <v>#DIV/0!</v>
      </c>
      <c r="L64"/>
      <c r="M64"/>
      <c r="N64"/>
      <c r="O64"/>
      <c r="P64"/>
      <c r="Q64"/>
      <c r="R64"/>
      <c r="S64"/>
      <c r="T64"/>
      <c r="U64"/>
    </row>
    <row r="65" spans="1:21" ht="22.5" x14ac:dyDescent="0.3">
      <c r="A65" s="39" t="s">
        <v>20</v>
      </c>
      <c r="B65" s="50" t="s">
        <v>18</v>
      </c>
      <c r="C65" s="89"/>
      <c r="D65" s="66"/>
      <c r="E65" s="67"/>
      <c r="F65" s="89"/>
      <c r="G65" s="91"/>
      <c r="H65" s="91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ht="23.25" x14ac:dyDescent="0.35">
      <c r="A66" s="97"/>
      <c r="B66" s="50"/>
      <c r="C66" s="98"/>
      <c r="D66" s="99"/>
      <c r="E66" s="71"/>
      <c r="F66" s="98"/>
      <c r="G66" s="100"/>
      <c r="H66" s="100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ht="23.25" x14ac:dyDescent="0.35">
      <c r="B67" s="61" t="s">
        <v>61</v>
      </c>
      <c r="C67" s="58"/>
      <c r="D67" s="52"/>
      <c r="E67" s="71"/>
      <c r="F67" s="58"/>
      <c r="G67" s="59"/>
      <c r="H67" s="59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ht="23.25" x14ac:dyDescent="0.35">
      <c r="A68" s="44">
        <v>65200000</v>
      </c>
      <c r="B68" s="35" t="s">
        <v>62</v>
      </c>
      <c r="C68" s="94"/>
      <c r="D68" s="28"/>
      <c r="E68" s="33"/>
      <c r="F68" s="94"/>
      <c r="G68" s="95"/>
      <c r="H68" s="95"/>
      <c r="I68"/>
      <c r="J68" s="37" t="e">
        <f t="shared" si="3"/>
        <v>#DIV/0!</v>
      </c>
      <c r="K68" s="37" t="e">
        <f t="shared" si="4"/>
        <v>#DIV/0!</v>
      </c>
      <c r="L68"/>
      <c r="M68"/>
      <c r="N68"/>
      <c r="O68"/>
      <c r="P68"/>
      <c r="Q68"/>
      <c r="R68"/>
      <c r="S68"/>
      <c r="T68"/>
      <c r="U68"/>
    </row>
    <row r="69" spans="1:21" ht="23.25" x14ac:dyDescent="0.35">
      <c r="A69" s="31">
        <v>60606000</v>
      </c>
      <c r="B69" s="35" t="s">
        <v>63</v>
      </c>
      <c r="C69" s="94"/>
      <c r="D69" s="28"/>
      <c r="E69" s="33"/>
      <c r="F69" s="94"/>
      <c r="G69" s="95"/>
      <c r="H69" s="95"/>
      <c r="I69"/>
      <c r="J69" s="37" t="e">
        <f t="shared" si="3"/>
        <v>#DIV/0!</v>
      </c>
      <c r="K69" s="37" t="e">
        <f t="shared" si="4"/>
        <v>#DIV/0!</v>
      </c>
      <c r="L69"/>
      <c r="M69"/>
      <c r="N69"/>
      <c r="O69"/>
      <c r="P69"/>
      <c r="Q69"/>
      <c r="R69"/>
      <c r="S69"/>
      <c r="T69"/>
      <c r="U69"/>
    </row>
    <row r="70" spans="1:21" ht="45" x14ac:dyDescent="0.35">
      <c r="A70" s="31">
        <v>61504000</v>
      </c>
      <c r="B70" s="35" t="s">
        <v>64</v>
      </c>
      <c r="C70" s="94"/>
      <c r="D70" s="28"/>
      <c r="E70" s="33"/>
      <c r="F70" s="94"/>
      <c r="G70" s="95"/>
      <c r="H70" s="95"/>
      <c r="I70"/>
      <c r="J70" s="37" t="e">
        <f t="shared" si="3"/>
        <v>#DIV/0!</v>
      </c>
      <c r="K70" s="37" t="e">
        <f t="shared" si="4"/>
        <v>#DIV/0!</v>
      </c>
      <c r="L70"/>
      <c r="M70"/>
      <c r="N70"/>
      <c r="O70"/>
      <c r="P70"/>
      <c r="Q70"/>
      <c r="R70"/>
      <c r="S70"/>
      <c r="T70"/>
      <c r="U70"/>
    </row>
    <row r="71" spans="1:21" ht="22.5" x14ac:dyDescent="0.3">
      <c r="A71" s="39" t="s">
        <v>20</v>
      </c>
      <c r="B71" s="50" t="s">
        <v>18</v>
      </c>
      <c r="C71" s="89"/>
      <c r="D71" s="101"/>
      <c r="E71" s="67"/>
      <c r="F71" s="89"/>
      <c r="G71" s="91"/>
      <c r="H71" s="91"/>
      <c r="I71"/>
      <c r="J71" s="37" t="e">
        <f t="shared" si="3"/>
        <v>#DIV/0!</v>
      </c>
      <c r="K71"/>
      <c r="L71"/>
      <c r="M71"/>
      <c r="N71"/>
      <c r="O71"/>
      <c r="P71"/>
      <c r="Q71"/>
      <c r="R71"/>
      <c r="S71"/>
      <c r="T71"/>
      <c r="U71"/>
    </row>
    <row r="72" spans="1:21" ht="23.25" x14ac:dyDescent="0.35">
      <c r="A72" s="57"/>
      <c r="B72" s="35"/>
      <c r="C72" s="58"/>
      <c r="D72" s="52"/>
      <c r="E72" s="71"/>
      <c r="F72" s="58"/>
      <c r="G72" s="59"/>
      <c r="H72" s="59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ht="23.25" x14ac:dyDescent="0.35">
      <c r="B73" s="61" t="s">
        <v>65</v>
      </c>
      <c r="C73" s="92"/>
      <c r="D73" s="102"/>
      <c r="E73" s="71"/>
      <c r="F73" s="92"/>
      <c r="G73" s="93"/>
      <c r="H73" s="9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ht="23.25" x14ac:dyDescent="0.35">
      <c r="A74" s="44">
        <v>60701000</v>
      </c>
      <c r="B74" s="35" t="s">
        <v>66</v>
      </c>
      <c r="C74" s="94"/>
      <c r="D74" s="28"/>
      <c r="E74" s="33"/>
      <c r="F74" s="94"/>
      <c r="G74" s="95"/>
      <c r="H74" s="95"/>
      <c r="I74"/>
      <c r="J74" s="37" t="e">
        <f t="shared" ref="J74:J94" si="5">(D74-F74)/F74</f>
        <v>#DIV/0!</v>
      </c>
      <c r="K74" s="37" t="e">
        <f t="shared" ref="K74:K94" si="6">(C74-D74)/D74</f>
        <v>#DIV/0!</v>
      </c>
      <c r="L74"/>
      <c r="M74"/>
      <c r="N74"/>
      <c r="O74"/>
      <c r="P74"/>
      <c r="Q74"/>
      <c r="R74"/>
      <c r="S74"/>
      <c r="T74"/>
      <c r="U74"/>
    </row>
    <row r="75" spans="1:21" ht="22.5" x14ac:dyDescent="0.3">
      <c r="A75" s="31">
        <v>60702000</v>
      </c>
      <c r="B75" s="96" t="s">
        <v>67</v>
      </c>
      <c r="C75" s="79"/>
      <c r="D75" s="41"/>
      <c r="E75" s="79"/>
      <c r="F75" s="79"/>
      <c r="G75" s="80"/>
      <c r="H75" s="80"/>
      <c r="I75"/>
      <c r="J75" s="37" t="e">
        <f t="shared" si="5"/>
        <v>#DIV/0!</v>
      </c>
      <c r="K75" s="37" t="e">
        <f t="shared" si="6"/>
        <v>#DIV/0!</v>
      </c>
      <c r="L75"/>
      <c r="M75"/>
      <c r="N75"/>
      <c r="O75"/>
      <c r="P75"/>
      <c r="Q75"/>
      <c r="R75"/>
      <c r="S75"/>
      <c r="T75"/>
      <c r="U75"/>
    </row>
    <row r="76" spans="1:21" ht="45" x14ac:dyDescent="0.35">
      <c r="A76" s="31">
        <v>61401000</v>
      </c>
      <c r="B76" s="35" t="s">
        <v>68</v>
      </c>
      <c r="C76" s="94"/>
      <c r="D76" s="28"/>
      <c r="E76" s="78"/>
      <c r="F76" s="94"/>
      <c r="G76" s="95"/>
      <c r="H76" s="95"/>
      <c r="I76"/>
      <c r="J76" s="37" t="e">
        <f t="shared" si="5"/>
        <v>#DIV/0!</v>
      </c>
      <c r="K76" s="37" t="e">
        <f t="shared" si="6"/>
        <v>#DIV/0!</v>
      </c>
      <c r="L76"/>
      <c r="M76"/>
      <c r="N76"/>
      <c r="O76"/>
      <c r="P76"/>
      <c r="Q76"/>
      <c r="R76"/>
      <c r="S76"/>
      <c r="T76"/>
      <c r="U76"/>
    </row>
    <row r="77" spans="1:21" ht="23.25" x14ac:dyDescent="0.35">
      <c r="A77" s="31">
        <v>61402000</v>
      </c>
      <c r="B77" s="35" t="s">
        <v>69</v>
      </c>
      <c r="C77" s="94"/>
      <c r="D77" s="28"/>
      <c r="E77" s="78"/>
      <c r="F77" s="94"/>
      <c r="G77" s="95"/>
      <c r="H77" s="95"/>
      <c r="I77"/>
      <c r="J77" s="37" t="e">
        <f t="shared" si="5"/>
        <v>#DIV/0!</v>
      </c>
      <c r="K77" s="37" t="e">
        <f t="shared" si="6"/>
        <v>#DIV/0!</v>
      </c>
      <c r="L77"/>
      <c r="M77"/>
      <c r="N77"/>
      <c r="O77"/>
      <c r="P77"/>
      <c r="Q77"/>
      <c r="R77"/>
      <c r="S77"/>
      <c r="T77"/>
      <c r="U77"/>
    </row>
    <row r="78" spans="1:21" ht="45" x14ac:dyDescent="0.35">
      <c r="A78" s="31">
        <v>651030</v>
      </c>
      <c r="B78" s="35" t="s">
        <v>70</v>
      </c>
      <c r="C78" s="94"/>
      <c r="D78" s="28"/>
      <c r="E78" s="78"/>
      <c r="F78" s="94"/>
      <c r="G78" s="93"/>
      <c r="H78" s="93"/>
      <c r="I78"/>
      <c r="J78" t="e">
        <f t="shared" si="5"/>
        <v>#DIV/0!</v>
      </c>
      <c r="K78" t="e">
        <f t="shared" si="6"/>
        <v>#DIV/0!</v>
      </c>
      <c r="L78"/>
      <c r="M78"/>
      <c r="N78"/>
      <c r="O78"/>
      <c r="P78"/>
      <c r="Q78"/>
      <c r="R78"/>
      <c r="S78"/>
      <c r="T78"/>
      <c r="U78"/>
    </row>
    <row r="79" spans="1:21" ht="27" customHeight="1" x14ac:dyDescent="0.35">
      <c r="A79" s="31">
        <v>61408000</v>
      </c>
      <c r="B79" s="35" t="s">
        <v>71</v>
      </c>
      <c r="C79" s="94"/>
      <c r="D79" s="28"/>
      <c r="E79" s="78"/>
      <c r="F79" s="94"/>
      <c r="G79" s="95"/>
      <c r="H79" s="95"/>
      <c r="I79"/>
      <c r="J79" s="37" t="e">
        <f t="shared" si="5"/>
        <v>#DIV/0!</v>
      </c>
      <c r="K79" s="37" t="e">
        <f t="shared" si="6"/>
        <v>#DIV/0!</v>
      </c>
      <c r="L79"/>
      <c r="M79"/>
      <c r="N79"/>
      <c r="O79"/>
      <c r="P79"/>
      <c r="Q79"/>
      <c r="R79"/>
      <c r="S79"/>
      <c r="T79"/>
      <c r="U79"/>
    </row>
    <row r="80" spans="1:21" ht="45" x14ac:dyDescent="0.35">
      <c r="A80" s="31">
        <v>61404000</v>
      </c>
      <c r="B80" s="35" t="s">
        <v>72</v>
      </c>
      <c r="C80" s="27"/>
      <c r="D80" s="28"/>
      <c r="E80" s="78"/>
      <c r="F80" s="27"/>
      <c r="G80" s="30"/>
      <c r="H80" s="3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ht="23.25" x14ac:dyDescent="0.35">
      <c r="A81" s="31">
        <v>69100000</v>
      </c>
      <c r="B81" s="35" t="s">
        <v>73</v>
      </c>
      <c r="C81" s="94"/>
      <c r="D81" s="28"/>
      <c r="E81" s="81"/>
      <c r="F81" s="94"/>
      <c r="G81" s="93"/>
      <c r="H81" s="93"/>
      <c r="I81"/>
      <c r="J81" t="e">
        <f t="shared" si="5"/>
        <v>#DIV/0!</v>
      </c>
      <c r="K81" t="e">
        <f t="shared" si="6"/>
        <v>#DIV/0!</v>
      </c>
      <c r="L81"/>
      <c r="M81"/>
      <c r="N81"/>
      <c r="O81"/>
      <c r="P81"/>
      <c r="Q81"/>
      <c r="R81"/>
      <c r="S81"/>
      <c r="T81"/>
      <c r="U81"/>
    </row>
    <row r="82" spans="1:21" ht="23.25" x14ac:dyDescent="0.35">
      <c r="A82" s="31">
        <v>69200000</v>
      </c>
      <c r="B82" s="35" t="s">
        <v>74</v>
      </c>
      <c r="C82" s="103"/>
      <c r="D82" s="28"/>
      <c r="E82" s="78"/>
      <c r="F82" s="103"/>
      <c r="G82" s="104"/>
      <c r="H82" s="104"/>
      <c r="I82"/>
      <c r="J82" s="37" t="e">
        <f t="shared" si="5"/>
        <v>#DIV/0!</v>
      </c>
      <c r="K82" s="37" t="e">
        <f t="shared" si="6"/>
        <v>#DIV/0!</v>
      </c>
      <c r="L82"/>
      <c r="M82"/>
      <c r="N82"/>
      <c r="O82"/>
      <c r="P82"/>
      <c r="Q82"/>
      <c r="R82"/>
      <c r="S82"/>
      <c r="T82"/>
      <c r="U82"/>
    </row>
    <row r="83" spans="1:21" ht="22.5" x14ac:dyDescent="0.3">
      <c r="A83" s="39" t="s">
        <v>20</v>
      </c>
      <c r="B83" s="50" t="s">
        <v>18</v>
      </c>
      <c r="C83" s="89"/>
      <c r="D83" s="66"/>
      <c r="E83" s="90"/>
      <c r="F83" s="89"/>
      <c r="G83" s="91"/>
      <c r="H83" s="91"/>
      <c r="I83"/>
      <c r="J83" s="37" t="e">
        <f t="shared" si="5"/>
        <v>#DIV/0!</v>
      </c>
      <c r="K83" s="37" t="e">
        <f t="shared" si="6"/>
        <v>#DIV/0!</v>
      </c>
      <c r="L83"/>
      <c r="M83"/>
      <c r="N83"/>
      <c r="O83"/>
      <c r="P83"/>
      <c r="Q83"/>
      <c r="R83"/>
      <c r="S83"/>
      <c r="T83"/>
      <c r="U83"/>
    </row>
    <row r="84" spans="1:21" ht="23.25" x14ac:dyDescent="0.35">
      <c r="A84" s="57"/>
      <c r="B84" s="32"/>
      <c r="C84" s="58"/>
      <c r="D84" s="76"/>
      <c r="E84" s="81"/>
      <c r="F84" s="58"/>
      <c r="G84" s="59"/>
      <c r="H84" s="59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ht="23.25" x14ac:dyDescent="0.35">
      <c r="B85" s="61" t="s">
        <v>75</v>
      </c>
      <c r="C85" s="62"/>
      <c r="D85" s="76"/>
      <c r="E85" s="81"/>
      <c r="F85" s="62"/>
      <c r="G85" s="64"/>
      <c r="H85" s="64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ht="23.25" x14ac:dyDescent="0.25">
      <c r="A86" s="57" t="s">
        <v>76</v>
      </c>
      <c r="B86" s="32" t="s">
        <v>77</v>
      </c>
      <c r="C86" s="105"/>
      <c r="D86" s="106"/>
      <c r="E86" s="78"/>
      <c r="F86" s="105"/>
      <c r="G86" s="107"/>
      <c r="H86" s="107"/>
      <c r="I86"/>
      <c r="J86" s="37" t="e">
        <f t="shared" si="5"/>
        <v>#DIV/0!</v>
      </c>
      <c r="K86" s="37" t="e">
        <f t="shared" si="6"/>
        <v>#DIV/0!</v>
      </c>
      <c r="L86"/>
      <c r="M86"/>
      <c r="N86"/>
      <c r="O86"/>
      <c r="P86"/>
      <c r="Q86"/>
      <c r="R86"/>
      <c r="S86"/>
      <c r="T86"/>
      <c r="U86"/>
    </row>
    <row r="87" spans="1:21" ht="23.25" x14ac:dyDescent="0.35">
      <c r="A87" s="31">
        <v>65202002</v>
      </c>
      <c r="B87" s="35" t="s">
        <v>78</v>
      </c>
      <c r="C87" s="94"/>
      <c r="D87" s="28"/>
      <c r="E87" s="78"/>
      <c r="F87" s="94"/>
      <c r="G87" s="95"/>
      <c r="H87" s="95"/>
      <c r="I87"/>
      <c r="J87" s="37" t="e">
        <f t="shared" si="5"/>
        <v>#DIV/0!</v>
      </c>
      <c r="K87" s="37" t="e">
        <f t="shared" si="6"/>
        <v>#DIV/0!</v>
      </c>
      <c r="L87"/>
      <c r="M87"/>
      <c r="N87"/>
      <c r="O87"/>
      <c r="P87"/>
      <c r="Q87"/>
      <c r="R87"/>
      <c r="S87"/>
      <c r="T87"/>
      <c r="U87"/>
    </row>
    <row r="88" spans="1:21" ht="23.25" x14ac:dyDescent="0.35">
      <c r="A88" s="31">
        <v>61604000</v>
      </c>
      <c r="B88" s="35" t="s">
        <v>79</v>
      </c>
      <c r="C88" s="94"/>
      <c r="D88" s="28"/>
      <c r="E88" s="78"/>
      <c r="F88" s="94"/>
      <c r="G88" s="95"/>
      <c r="H88" s="95"/>
      <c r="I88"/>
      <c r="J88" s="37" t="e">
        <f t="shared" si="5"/>
        <v>#DIV/0!</v>
      </c>
      <c r="K88" s="37" t="e">
        <f t="shared" si="6"/>
        <v>#DIV/0!</v>
      </c>
      <c r="L88"/>
      <c r="M88"/>
      <c r="N88"/>
      <c r="O88"/>
      <c r="P88"/>
      <c r="Q88"/>
      <c r="R88"/>
      <c r="S88"/>
      <c r="T88"/>
      <c r="U88"/>
    </row>
    <row r="89" spans="1:21" ht="22.5" x14ac:dyDescent="0.25">
      <c r="A89" s="39" t="s">
        <v>20</v>
      </c>
      <c r="B89" s="50" t="s">
        <v>18</v>
      </c>
      <c r="C89" s="89"/>
      <c r="D89" s="101"/>
      <c r="E89" s="90"/>
      <c r="F89" s="89"/>
      <c r="G89" s="91"/>
      <c r="H89" s="91"/>
      <c r="I89"/>
      <c r="J89" s="37" t="e">
        <f t="shared" si="5"/>
        <v>#DIV/0!</v>
      </c>
      <c r="K89" s="37" t="e">
        <f t="shared" si="6"/>
        <v>#DIV/0!</v>
      </c>
      <c r="L89"/>
      <c r="M89"/>
      <c r="N89"/>
      <c r="O89"/>
      <c r="P89"/>
      <c r="Q89"/>
      <c r="R89"/>
      <c r="S89"/>
      <c r="T89"/>
      <c r="U89"/>
    </row>
    <row r="90" spans="1:21" ht="22.5" x14ac:dyDescent="0.3">
      <c r="A90" s="57"/>
      <c r="B90" s="96"/>
      <c r="C90" s="108"/>
      <c r="D90" s="109"/>
      <c r="E90" s="110"/>
      <c r="F90" s="108"/>
      <c r="G90" s="111"/>
      <c r="H90" s="111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ht="23.25" x14ac:dyDescent="0.35">
      <c r="B91" s="61" t="s">
        <v>80</v>
      </c>
      <c r="C91" s="92"/>
      <c r="D91" s="76"/>
      <c r="E91" s="81"/>
      <c r="F91" s="92"/>
      <c r="G91" s="93"/>
      <c r="H91" s="93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ht="23.25" x14ac:dyDescent="0.35">
      <c r="A92" s="44">
        <v>65300001</v>
      </c>
      <c r="B92" s="35" t="s">
        <v>81</v>
      </c>
      <c r="C92" s="94"/>
      <c r="D92" s="28"/>
      <c r="E92" s="78"/>
      <c r="F92" s="94"/>
      <c r="G92" s="95"/>
      <c r="H92" s="93"/>
      <c r="I92"/>
      <c r="J92" s="37" t="e">
        <f t="shared" si="5"/>
        <v>#DIV/0!</v>
      </c>
      <c r="K92" t="e">
        <f t="shared" si="6"/>
        <v>#DIV/0!</v>
      </c>
      <c r="L92"/>
      <c r="M92"/>
      <c r="N92"/>
      <c r="O92"/>
      <c r="P92"/>
      <c r="Q92"/>
      <c r="R92"/>
      <c r="S92"/>
      <c r="T92"/>
      <c r="U92"/>
    </row>
    <row r="93" spans="1:21" ht="23.25" x14ac:dyDescent="0.35">
      <c r="A93" s="31">
        <v>61603000</v>
      </c>
      <c r="B93" s="35" t="s">
        <v>82</v>
      </c>
      <c r="C93" s="94"/>
      <c r="D93" s="28"/>
      <c r="E93" s="78"/>
      <c r="F93" s="94"/>
      <c r="G93" s="95"/>
      <c r="H93" s="95"/>
      <c r="I93"/>
      <c r="J93" s="37" t="e">
        <f t="shared" si="5"/>
        <v>#DIV/0!</v>
      </c>
      <c r="K93" s="37" t="e">
        <f t="shared" si="6"/>
        <v>#DIV/0!</v>
      </c>
      <c r="L93"/>
      <c r="M93"/>
      <c r="N93"/>
      <c r="O93"/>
      <c r="P93"/>
      <c r="Q93"/>
      <c r="R93"/>
      <c r="S93"/>
      <c r="T93"/>
      <c r="U93"/>
    </row>
    <row r="94" spans="1:21" ht="23.25" x14ac:dyDescent="0.35">
      <c r="A94" s="31">
        <v>60611000</v>
      </c>
      <c r="B94" s="35" t="s">
        <v>83</v>
      </c>
      <c r="C94" s="94"/>
      <c r="D94" s="28"/>
      <c r="E94" s="78"/>
      <c r="F94" s="94"/>
      <c r="G94" s="95"/>
      <c r="H94" s="95"/>
      <c r="I94"/>
      <c r="J94" s="37" t="e">
        <f t="shared" si="5"/>
        <v>#DIV/0!</v>
      </c>
      <c r="K94" s="37" t="e">
        <f t="shared" si="6"/>
        <v>#DIV/0!</v>
      </c>
      <c r="L94"/>
      <c r="M94"/>
      <c r="N94"/>
      <c r="O94"/>
      <c r="P94"/>
      <c r="Q94"/>
      <c r="R94"/>
      <c r="S94"/>
      <c r="T94"/>
      <c r="U94"/>
    </row>
    <row r="95" spans="1:21" ht="22.5" x14ac:dyDescent="0.3">
      <c r="A95" s="39" t="s">
        <v>20</v>
      </c>
      <c r="B95" s="50" t="s">
        <v>18</v>
      </c>
      <c r="C95" s="65"/>
      <c r="D95" s="66"/>
      <c r="E95" s="90"/>
      <c r="F95" s="65"/>
      <c r="G95" s="68"/>
      <c r="H95" s="68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ht="23.25" x14ac:dyDescent="0.35">
      <c r="A96" s="57"/>
      <c r="B96" s="32"/>
      <c r="C96" s="58"/>
      <c r="D96" s="76"/>
      <c r="E96" s="81"/>
      <c r="F96" s="58"/>
      <c r="G96" s="59"/>
      <c r="H96" s="59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ht="23.25" x14ac:dyDescent="0.35">
      <c r="B97" s="61" t="s">
        <v>84</v>
      </c>
      <c r="C97" s="62"/>
      <c r="D97" s="76"/>
      <c r="E97" s="81"/>
      <c r="F97" s="62"/>
      <c r="G97" s="64"/>
      <c r="H97" s="64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ht="23.25" x14ac:dyDescent="0.35">
      <c r="A98" s="44">
        <v>61101000</v>
      </c>
      <c r="B98" s="32" t="s">
        <v>85</v>
      </c>
      <c r="C98" s="94"/>
      <c r="D98" s="28"/>
      <c r="E98" s="78"/>
      <c r="F98" s="94"/>
      <c r="G98" s="95"/>
      <c r="H98" s="93"/>
      <c r="I98"/>
      <c r="J98" s="37" t="e">
        <f t="shared" ref="J98:J103" si="7">(D98-F98)/F98</f>
        <v>#DIV/0!</v>
      </c>
      <c r="K98" t="e">
        <f t="shared" ref="K98:K104" si="8">(C98-D98)/D98</f>
        <v>#DIV/0!</v>
      </c>
      <c r="L98"/>
      <c r="M98"/>
      <c r="N98"/>
      <c r="O98"/>
      <c r="P98"/>
      <c r="Q98"/>
      <c r="R98"/>
      <c r="S98"/>
      <c r="T98"/>
      <c r="U98"/>
    </row>
    <row r="99" spans="1:21" ht="23.25" x14ac:dyDescent="0.35">
      <c r="A99" s="31">
        <v>61103000</v>
      </c>
      <c r="B99" s="35" t="s">
        <v>86</v>
      </c>
      <c r="C99" s="94"/>
      <c r="D99" s="28"/>
      <c r="E99" s="78"/>
      <c r="F99" s="94"/>
      <c r="G99" s="95"/>
      <c r="H99" s="95"/>
      <c r="I99"/>
      <c r="J99" s="37" t="e">
        <f t="shared" si="7"/>
        <v>#DIV/0!</v>
      </c>
      <c r="K99" s="37" t="e">
        <f t="shared" si="8"/>
        <v>#DIV/0!</v>
      </c>
      <c r="L99"/>
      <c r="M99"/>
      <c r="N99"/>
      <c r="O99"/>
      <c r="P99"/>
      <c r="Q99"/>
      <c r="R99"/>
      <c r="S99"/>
      <c r="T99"/>
      <c r="U99"/>
    </row>
    <row r="100" spans="1:21" ht="23.25" x14ac:dyDescent="0.35">
      <c r="A100" s="31">
        <v>61106000</v>
      </c>
      <c r="B100" s="35" t="s">
        <v>87</v>
      </c>
      <c r="C100" s="94"/>
      <c r="D100" s="28"/>
      <c r="E100" s="78"/>
      <c r="F100" s="94"/>
      <c r="G100" s="95"/>
      <c r="H100" s="95"/>
      <c r="I100"/>
      <c r="J100" s="37" t="e">
        <f t="shared" si="7"/>
        <v>#DIV/0!</v>
      </c>
      <c r="K100" s="37" t="e">
        <f t="shared" si="8"/>
        <v>#DIV/0!</v>
      </c>
      <c r="L100"/>
      <c r="M100"/>
      <c r="N100"/>
      <c r="O100"/>
      <c r="P100"/>
      <c r="Q100"/>
      <c r="R100"/>
      <c r="S100"/>
      <c r="T100"/>
      <c r="U100"/>
    </row>
    <row r="101" spans="1:21" ht="23.25" x14ac:dyDescent="0.35">
      <c r="A101" s="31">
        <v>61108000</v>
      </c>
      <c r="B101" s="35" t="s">
        <v>88</v>
      </c>
      <c r="C101" s="94"/>
      <c r="D101" s="28"/>
      <c r="E101" s="78"/>
      <c r="F101" s="94"/>
      <c r="G101" s="95"/>
      <c r="H101" s="95"/>
      <c r="I101"/>
      <c r="J101" s="37" t="e">
        <f t="shared" si="7"/>
        <v>#DIV/0!</v>
      </c>
      <c r="K101" s="37" t="e">
        <f t="shared" si="8"/>
        <v>#DIV/0!</v>
      </c>
      <c r="L101"/>
      <c r="M101"/>
      <c r="N101"/>
      <c r="O101"/>
      <c r="P101"/>
      <c r="Q101"/>
      <c r="R101"/>
      <c r="S101"/>
      <c r="T101"/>
      <c r="U101"/>
    </row>
    <row r="102" spans="1:21" ht="45" x14ac:dyDescent="0.35">
      <c r="A102" s="31">
        <v>61102000</v>
      </c>
      <c r="B102" s="35" t="s">
        <v>89</v>
      </c>
      <c r="C102" s="94"/>
      <c r="D102" s="28"/>
      <c r="E102" s="78"/>
      <c r="F102" s="94"/>
      <c r="G102" s="95"/>
      <c r="H102" s="95"/>
      <c r="I102"/>
      <c r="J102" s="37" t="e">
        <f t="shared" si="7"/>
        <v>#DIV/0!</v>
      </c>
      <c r="K102" s="37" t="e">
        <f t="shared" si="8"/>
        <v>#DIV/0!</v>
      </c>
      <c r="L102"/>
      <c r="M102"/>
      <c r="N102"/>
      <c r="O102"/>
      <c r="P102"/>
      <c r="Q102"/>
      <c r="R102"/>
      <c r="S102"/>
      <c r="T102"/>
      <c r="U102"/>
    </row>
    <row r="103" spans="1:21" ht="45" x14ac:dyDescent="0.35">
      <c r="A103" s="31">
        <v>61109001</v>
      </c>
      <c r="B103" s="35" t="s">
        <v>90</v>
      </c>
      <c r="C103" s="94"/>
      <c r="D103" s="28"/>
      <c r="E103" s="78"/>
      <c r="F103" s="94"/>
      <c r="G103" s="95"/>
      <c r="H103" s="95"/>
      <c r="I103"/>
      <c r="J103" s="37" t="e">
        <f t="shared" si="7"/>
        <v>#DIV/0!</v>
      </c>
      <c r="K103" s="37" t="e">
        <f t="shared" si="8"/>
        <v>#DIV/0!</v>
      </c>
      <c r="L103"/>
      <c r="M103"/>
      <c r="N103"/>
      <c r="O103"/>
      <c r="P103"/>
      <c r="Q103"/>
      <c r="R103"/>
      <c r="S103"/>
      <c r="T103"/>
      <c r="U103"/>
    </row>
    <row r="104" spans="1:21" ht="22.5" x14ac:dyDescent="0.3">
      <c r="A104" s="39" t="s">
        <v>20</v>
      </c>
      <c r="B104" s="50" t="s">
        <v>18</v>
      </c>
      <c r="C104" s="89"/>
      <c r="D104" s="66"/>
      <c r="E104" s="90"/>
      <c r="F104" s="89"/>
      <c r="G104" s="91"/>
      <c r="H104" s="91"/>
      <c r="I104"/>
      <c r="J104"/>
      <c r="K104" s="37" t="e">
        <f t="shared" si="8"/>
        <v>#DIV/0!</v>
      </c>
      <c r="L104"/>
      <c r="M104"/>
      <c r="N104"/>
      <c r="O104"/>
      <c r="P104"/>
      <c r="Q104"/>
      <c r="R104"/>
      <c r="S104"/>
      <c r="T104"/>
      <c r="U104"/>
    </row>
    <row r="105" spans="1:21" ht="23.25" x14ac:dyDescent="0.25">
      <c r="A105" s="57"/>
      <c r="B105" s="35"/>
      <c r="C105" s="58"/>
      <c r="D105" s="63"/>
      <c r="E105" s="81"/>
      <c r="F105" s="58"/>
      <c r="G105" s="59"/>
      <c r="H105" s="59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ht="23.25" x14ac:dyDescent="0.25">
      <c r="B106" s="61" t="s">
        <v>91</v>
      </c>
      <c r="C106" s="92"/>
      <c r="D106" s="63"/>
      <c r="E106" s="81"/>
      <c r="F106" s="92"/>
      <c r="G106" s="93"/>
      <c r="H106" s="93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ht="23.25" x14ac:dyDescent="0.35">
      <c r="A107" s="44">
        <v>61301000</v>
      </c>
      <c r="B107" s="35" t="s">
        <v>92</v>
      </c>
      <c r="C107" s="27"/>
      <c r="D107" s="106"/>
      <c r="E107" s="78"/>
      <c r="F107" s="27"/>
      <c r="G107" s="30"/>
      <c r="H107" s="30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ht="45" x14ac:dyDescent="0.35">
      <c r="A108" s="31">
        <v>61303000</v>
      </c>
      <c r="B108" s="35" t="s">
        <v>93</v>
      </c>
      <c r="C108" s="27"/>
      <c r="D108" s="106"/>
      <c r="E108" s="78"/>
      <c r="F108" s="27"/>
      <c r="G108" s="30"/>
      <c r="H108" s="30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ht="23.25" x14ac:dyDescent="0.35">
      <c r="A109" s="31">
        <v>61302000</v>
      </c>
      <c r="B109" s="35" t="s">
        <v>94</v>
      </c>
      <c r="C109" s="27"/>
      <c r="D109" s="106"/>
      <c r="E109" s="78"/>
      <c r="F109" s="27"/>
      <c r="G109" s="30"/>
      <c r="H109" s="30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ht="22.5" x14ac:dyDescent="0.25">
      <c r="A110" s="112"/>
      <c r="B110" s="50" t="s">
        <v>18</v>
      </c>
      <c r="C110" s="89"/>
      <c r="D110" s="46"/>
      <c r="E110" s="90"/>
      <c r="F110" s="89"/>
      <c r="G110" s="91"/>
      <c r="H110" s="91"/>
      <c r="I110" s="37">
        <f t="shared" ref="I110" si="9">SUM(I107:I109)</f>
        <v>0</v>
      </c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ht="23.25" x14ac:dyDescent="0.25">
      <c r="A111" s="57"/>
      <c r="B111" s="113"/>
      <c r="C111" s="58"/>
      <c r="D111" s="52"/>
      <c r="E111" s="81"/>
      <c r="F111" s="58"/>
      <c r="G111" s="59"/>
      <c r="H111" s="59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ht="23.25" x14ac:dyDescent="0.25">
      <c r="B112" s="61" t="s">
        <v>95</v>
      </c>
      <c r="C112" s="92"/>
      <c r="D112" s="102"/>
      <c r="E112" s="81"/>
      <c r="F112" s="92"/>
      <c r="G112" s="93"/>
      <c r="H112" s="93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ht="22.5" x14ac:dyDescent="0.3">
      <c r="A113" s="44">
        <v>62700000</v>
      </c>
      <c r="B113" s="96" t="s">
        <v>96</v>
      </c>
      <c r="C113" s="41"/>
      <c r="D113" s="41"/>
      <c r="E113" s="79"/>
      <c r="F113" s="41"/>
      <c r="G113" s="43"/>
      <c r="H113" s="43"/>
      <c r="I113"/>
      <c r="J113" s="37" t="e">
        <f t="shared" ref="J113:J120" si="10">(D113-F113)/F113</f>
        <v>#DIV/0!</v>
      </c>
      <c r="K113" s="37" t="e">
        <f t="shared" ref="K113:K120" si="11">(C113-D113)/D113</f>
        <v>#DIV/0!</v>
      </c>
      <c r="L113"/>
      <c r="M113"/>
      <c r="N113"/>
      <c r="O113"/>
      <c r="P113"/>
      <c r="Q113"/>
      <c r="R113"/>
      <c r="S113"/>
      <c r="T113"/>
      <c r="U113"/>
    </row>
    <row r="114" spans="1:21" ht="45" x14ac:dyDescent="0.35">
      <c r="A114" s="31">
        <v>62100000</v>
      </c>
      <c r="B114" s="35" t="s">
        <v>97</v>
      </c>
      <c r="C114" s="27"/>
      <c r="D114" s="28"/>
      <c r="E114" s="78"/>
      <c r="F114" s="27"/>
      <c r="G114" s="30"/>
      <c r="H114" s="30"/>
      <c r="I114"/>
      <c r="J114" s="37" t="e">
        <f t="shared" si="10"/>
        <v>#DIV/0!</v>
      </c>
      <c r="K114" s="37" t="e">
        <f t="shared" si="11"/>
        <v>#DIV/0!</v>
      </c>
      <c r="L114"/>
      <c r="M114"/>
      <c r="N114"/>
      <c r="O114"/>
      <c r="P114"/>
      <c r="Q114"/>
      <c r="R114"/>
      <c r="S114"/>
      <c r="T114"/>
      <c r="U114"/>
    </row>
    <row r="115" spans="1:21" ht="23.25" x14ac:dyDescent="0.35">
      <c r="A115" s="31">
        <v>62800000</v>
      </c>
      <c r="B115" s="35" t="s">
        <v>98</v>
      </c>
      <c r="C115" s="27"/>
      <c r="D115" s="28"/>
      <c r="E115" s="78"/>
      <c r="F115" s="27"/>
      <c r="G115" s="30"/>
      <c r="H115" s="30"/>
      <c r="I115"/>
      <c r="J115" s="37" t="e">
        <f t="shared" si="10"/>
        <v>#DIV/0!</v>
      </c>
      <c r="K115" s="37" t="e">
        <f t="shared" si="11"/>
        <v>#DIV/0!</v>
      </c>
      <c r="L115"/>
      <c r="M115"/>
      <c r="N115"/>
      <c r="O115"/>
      <c r="P115"/>
      <c r="Q115"/>
      <c r="R115"/>
      <c r="S115"/>
      <c r="T115"/>
      <c r="U115"/>
    </row>
    <row r="116" spans="1:21" ht="23.25" x14ac:dyDescent="0.35">
      <c r="A116" s="31">
        <v>62900000</v>
      </c>
      <c r="B116" s="35" t="s">
        <v>99</v>
      </c>
      <c r="C116" s="27"/>
      <c r="D116" s="28"/>
      <c r="E116" s="78"/>
      <c r="F116" s="27"/>
      <c r="G116" s="30"/>
      <c r="H116" s="30"/>
      <c r="I116"/>
      <c r="J116" s="37" t="e">
        <f t="shared" si="10"/>
        <v>#DIV/0!</v>
      </c>
      <c r="K116" s="37" t="e">
        <f t="shared" si="11"/>
        <v>#DIV/0!</v>
      </c>
      <c r="L116"/>
      <c r="M116"/>
      <c r="N116"/>
      <c r="O116"/>
      <c r="P116"/>
      <c r="Q116"/>
      <c r="R116"/>
      <c r="S116"/>
      <c r="T116"/>
      <c r="U116"/>
    </row>
    <row r="117" spans="1:21" ht="23.25" x14ac:dyDescent="0.35">
      <c r="A117" s="31">
        <v>61607000</v>
      </c>
      <c r="B117" s="35" t="s">
        <v>100</v>
      </c>
      <c r="C117" s="27"/>
      <c r="D117" s="28"/>
      <c r="E117" s="78"/>
      <c r="F117" s="27"/>
      <c r="G117" s="30"/>
      <c r="H117" s="30"/>
      <c r="I117"/>
      <c r="J117"/>
      <c r="K117" s="37" t="e">
        <f t="shared" si="11"/>
        <v>#DIV/0!</v>
      </c>
      <c r="L117"/>
      <c r="M117"/>
      <c r="N117"/>
      <c r="O117"/>
      <c r="P117"/>
      <c r="Q117"/>
      <c r="R117"/>
      <c r="S117"/>
      <c r="T117"/>
      <c r="U117"/>
    </row>
    <row r="118" spans="1:21" ht="23.25" x14ac:dyDescent="0.35">
      <c r="A118" s="39"/>
      <c r="B118" s="35" t="s">
        <v>101</v>
      </c>
      <c r="C118" s="27"/>
      <c r="D118" s="28"/>
      <c r="E118" s="78"/>
      <c r="F118" s="27"/>
      <c r="G118" s="30"/>
      <c r="H118" s="30"/>
      <c r="I118"/>
      <c r="J118"/>
      <c r="K118" s="37" t="e">
        <f t="shared" si="11"/>
        <v>#DIV/0!</v>
      </c>
      <c r="L118"/>
      <c r="M118"/>
      <c r="N118"/>
      <c r="O118"/>
      <c r="P118"/>
      <c r="Q118"/>
      <c r="R118"/>
      <c r="S118"/>
      <c r="T118"/>
      <c r="U118"/>
    </row>
    <row r="119" spans="1:21" ht="23.25" x14ac:dyDescent="0.35">
      <c r="A119" s="31">
        <v>62990000</v>
      </c>
      <c r="B119" s="35" t="s">
        <v>102</v>
      </c>
      <c r="C119" s="27"/>
      <c r="D119" s="28"/>
      <c r="E119" s="78"/>
      <c r="F119" s="27"/>
      <c r="G119" s="30"/>
      <c r="H119" s="30"/>
      <c r="I119"/>
      <c r="J119" s="37" t="e">
        <f t="shared" si="10"/>
        <v>#DIV/0!</v>
      </c>
      <c r="K119" s="37" t="e">
        <f t="shared" si="11"/>
        <v>#DIV/0!</v>
      </c>
      <c r="L119"/>
      <c r="M119"/>
      <c r="N119"/>
      <c r="O119"/>
      <c r="P119"/>
      <c r="Q119"/>
      <c r="R119"/>
      <c r="S119"/>
      <c r="T119"/>
      <c r="U119"/>
    </row>
    <row r="120" spans="1:21" ht="22.5" x14ac:dyDescent="0.25">
      <c r="A120" s="39" t="s">
        <v>20</v>
      </c>
      <c r="B120" s="50" t="s">
        <v>18</v>
      </c>
      <c r="C120" s="89"/>
      <c r="D120" s="101"/>
      <c r="E120" s="90"/>
      <c r="F120" s="89"/>
      <c r="G120" s="91"/>
      <c r="H120" s="91"/>
      <c r="I120"/>
      <c r="J120" s="37" t="e">
        <f t="shared" si="10"/>
        <v>#DIV/0!</v>
      </c>
      <c r="K120" s="37" t="e">
        <f t="shared" si="11"/>
        <v>#DIV/0!</v>
      </c>
      <c r="L120"/>
      <c r="M120"/>
      <c r="N120"/>
      <c r="O120"/>
      <c r="P120"/>
      <c r="Q120"/>
      <c r="R120"/>
      <c r="S120"/>
      <c r="T120"/>
      <c r="U120"/>
    </row>
    <row r="121" spans="1:21" ht="23.25" x14ac:dyDescent="0.25">
      <c r="A121" s="57"/>
      <c r="B121" s="35"/>
      <c r="C121" s="58"/>
      <c r="D121" s="52"/>
      <c r="E121" s="81"/>
      <c r="F121" s="58"/>
      <c r="G121" s="59"/>
      <c r="H121" s="59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ht="23.25" x14ac:dyDescent="0.35">
      <c r="B122" s="61" t="s">
        <v>103</v>
      </c>
      <c r="C122" s="105"/>
      <c r="D122" s="28"/>
      <c r="E122" s="78"/>
      <c r="F122" s="105"/>
      <c r="G122" s="64"/>
      <c r="H122" s="64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ht="23.25" x14ac:dyDescent="0.35">
      <c r="B123" s="50" t="s">
        <v>18</v>
      </c>
      <c r="C123" s="56"/>
      <c r="D123" s="76"/>
      <c r="E123" s="81"/>
      <c r="F123" s="56"/>
      <c r="G123" s="48"/>
      <c r="H123" s="48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ht="23.25" x14ac:dyDescent="0.25">
      <c r="A124" s="114"/>
      <c r="B124" s="35"/>
      <c r="C124" s="58"/>
      <c r="D124" s="52"/>
      <c r="E124" s="81"/>
      <c r="F124" s="58"/>
      <c r="G124" s="59"/>
      <c r="H124" s="59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ht="23.25" x14ac:dyDescent="0.25">
      <c r="B125" s="61" t="s">
        <v>104</v>
      </c>
      <c r="C125" s="62"/>
      <c r="D125" s="63"/>
      <c r="E125" s="81"/>
      <c r="F125" s="62"/>
      <c r="G125" s="64"/>
      <c r="H125" s="64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ht="23.25" x14ac:dyDescent="0.35">
      <c r="A126" s="39"/>
      <c r="B126" s="35"/>
      <c r="C126" s="92"/>
      <c r="D126" s="76"/>
      <c r="E126" s="81"/>
      <c r="F126" s="92"/>
      <c r="G126" s="93"/>
      <c r="H126" s="93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ht="45" x14ac:dyDescent="0.25">
      <c r="A127" s="31">
        <v>61800000</v>
      </c>
      <c r="B127" s="35" t="s">
        <v>105</v>
      </c>
      <c r="C127" s="94"/>
      <c r="D127" s="106"/>
      <c r="E127" s="78"/>
      <c r="F127" s="94"/>
      <c r="G127" s="95"/>
      <c r="H127" s="93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ht="22.5" x14ac:dyDescent="0.25">
      <c r="A128" s="39" t="s">
        <v>106</v>
      </c>
      <c r="B128" s="49" t="s">
        <v>18</v>
      </c>
      <c r="C128" s="79"/>
      <c r="D128" s="42"/>
      <c r="E128" s="79"/>
      <c r="F128" s="79"/>
      <c r="G128" s="80"/>
      <c r="H128" s="115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ht="23.25" x14ac:dyDescent="0.3">
      <c r="A129" s="116"/>
      <c r="B129" s="26"/>
      <c r="C129" s="92"/>
      <c r="D129" s="63"/>
      <c r="E129" s="81"/>
      <c r="F129" s="92"/>
      <c r="G129" s="93"/>
      <c r="H129" s="93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ht="23.25" x14ac:dyDescent="0.3">
      <c r="B130" s="117" t="s">
        <v>107</v>
      </c>
      <c r="C130" s="92"/>
      <c r="D130" s="63"/>
      <c r="E130" s="81"/>
      <c r="F130" s="92"/>
      <c r="G130" s="93"/>
      <c r="H130" s="93"/>
      <c r="I130"/>
      <c r="J130"/>
      <c r="K130"/>
      <c r="L130"/>
      <c r="M130"/>
      <c r="N130"/>
      <c r="O130"/>
      <c r="P130"/>
      <c r="Q130"/>
      <c r="R130"/>
      <c r="S130"/>
      <c r="T130"/>
    </row>
    <row r="131" spans="1:21" ht="23.25" x14ac:dyDescent="0.3">
      <c r="A131" s="118">
        <v>65108000</v>
      </c>
      <c r="B131" s="26" t="s">
        <v>108</v>
      </c>
      <c r="C131" s="94"/>
      <c r="D131" s="106"/>
      <c r="E131" s="81"/>
      <c r="F131" s="94"/>
      <c r="G131" s="95"/>
      <c r="H131" s="95"/>
      <c r="I131"/>
      <c r="J131" s="37" t="e">
        <f t="shared" ref="J131:J140" si="12">(D131-F131)/F131</f>
        <v>#DIV/0!</v>
      </c>
      <c r="K131" s="37" t="e">
        <f t="shared" ref="K131:K140" si="13">(C131-D131)/D131</f>
        <v>#DIV/0!</v>
      </c>
      <c r="L131"/>
      <c r="M131"/>
      <c r="N131"/>
      <c r="O131"/>
      <c r="P131"/>
      <c r="Q131"/>
      <c r="R131"/>
      <c r="S131"/>
      <c r="T131"/>
    </row>
    <row r="132" spans="1:21" ht="45" x14ac:dyDescent="0.3">
      <c r="A132" s="116"/>
      <c r="B132" s="26" t="s">
        <v>109</v>
      </c>
      <c r="C132" s="94"/>
      <c r="D132" s="106"/>
      <c r="E132" s="81"/>
      <c r="F132" s="94"/>
      <c r="G132" s="95"/>
      <c r="H132" s="95"/>
      <c r="I132"/>
      <c r="J132" s="37" t="e">
        <f t="shared" si="12"/>
        <v>#DIV/0!</v>
      </c>
      <c r="K132" s="37" t="e">
        <f t="shared" si="13"/>
        <v>#DIV/0!</v>
      </c>
      <c r="L132"/>
      <c r="M132"/>
      <c r="N132"/>
      <c r="O132"/>
      <c r="P132"/>
      <c r="Q132"/>
      <c r="R132"/>
      <c r="S132"/>
      <c r="T132"/>
    </row>
    <row r="133" spans="1:21" ht="112.5" x14ac:dyDescent="0.3">
      <c r="A133" s="116"/>
      <c r="B133" s="26" t="s">
        <v>110</v>
      </c>
      <c r="C133" s="94"/>
      <c r="D133" s="106"/>
      <c r="E133" s="78"/>
      <c r="F133" s="94"/>
      <c r="G133" s="95"/>
      <c r="H133" s="95"/>
      <c r="I133"/>
      <c r="J133" s="37" t="e">
        <f t="shared" si="12"/>
        <v>#DIV/0!</v>
      </c>
      <c r="K133" s="37" t="e">
        <f t="shared" si="13"/>
        <v>#DIV/0!</v>
      </c>
      <c r="L133"/>
      <c r="M133"/>
      <c r="N133"/>
      <c r="O133"/>
      <c r="P133"/>
      <c r="Q133"/>
      <c r="R133"/>
      <c r="S133"/>
      <c r="T133"/>
    </row>
    <row r="134" spans="1:21" ht="67.5" x14ac:dyDescent="0.3">
      <c r="A134" s="116"/>
      <c r="B134" s="26" t="s">
        <v>111</v>
      </c>
      <c r="C134" s="94"/>
      <c r="D134" s="106"/>
      <c r="E134" s="78"/>
      <c r="F134" s="94"/>
      <c r="G134" s="95"/>
      <c r="H134" s="95"/>
      <c r="I134"/>
      <c r="J134" s="37" t="e">
        <f t="shared" si="12"/>
        <v>#DIV/0!</v>
      </c>
      <c r="K134" s="37" t="e">
        <f t="shared" si="13"/>
        <v>#DIV/0!</v>
      </c>
      <c r="L134"/>
      <c r="M134"/>
      <c r="N134"/>
      <c r="O134"/>
      <c r="P134"/>
      <c r="Q134"/>
      <c r="R134"/>
      <c r="S134"/>
      <c r="T134"/>
    </row>
    <row r="135" spans="1:21" ht="112.5" x14ac:dyDescent="0.3">
      <c r="A135" s="116"/>
      <c r="B135" s="26" t="s">
        <v>112</v>
      </c>
      <c r="C135" s="94"/>
      <c r="D135" s="119"/>
      <c r="E135" s="78"/>
      <c r="F135" s="94"/>
      <c r="G135" s="95"/>
      <c r="H135" s="95"/>
      <c r="I135"/>
      <c r="J135" s="37" t="e">
        <f t="shared" si="12"/>
        <v>#DIV/0!</v>
      </c>
      <c r="K135" s="37" t="e">
        <f t="shared" si="13"/>
        <v>#DIV/0!</v>
      </c>
      <c r="L135"/>
      <c r="M135"/>
      <c r="N135"/>
      <c r="O135"/>
      <c r="P135"/>
      <c r="Q135"/>
      <c r="R135"/>
      <c r="S135"/>
      <c r="T135"/>
    </row>
    <row r="136" spans="1:21" ht="67.5" x14ac:dyDescent="0.3">
      <c r="A136" s="116"/>
      <c r="B136" s="26" t="s">
        <v>113</v>
      </c>
      <c r="C136" s="94"/>
      <c r="D136" s="119"/>
      <c r="E136" s="78"/>
      <c r="F136" s="94"/>
      <c r="G136" s="95"/>
      <c r="H136" s="95"/>
      <c r="I136"/>
      <c r="J136" s="37" t="e">
        <f t="shared" si="12"/>
        <v>#DIV/0!</v>
      </c>
      <c r="K136" s="37" t="e">
        <f t="shared" si="13"/>
        <v>#DIV/0!</v>
      </c>
      <c r="L136"/>
      <c r="M136"/>
      <c r="N136"/>
      <c r="O136"/>
      <c r="P136"/>
      <c r="Q136"/>
      <c r="R136"/>
      <c r="S136"/>
      <c r="T136"/>
    </row>
    <row r="137" spans="1:21" ht="67.5" x14ac:dyDescent="0.3">
      <c r="A137" s="116"/>
      <c r="B137" s="26" t="s">
        <v>114</v>
      </c>
      <c r="C137" s="94"/>
      <c r="D137" s="119"/>
      <c r="E137" s="78"/>
      <c r="F137" s="94"/>
      <c r="G137" s="95"/>
      <c r="H137" s="95"/>
      <c r="I137"/>
      <c r="J137" s="37" t="e">
        <f t="shared" si="12"/>
        <v>#DIV/0!</v>
      </c>
      <c r="K137" s="37" t="e">
        <f t="shared" si="13"/>
        <v>#DIV/0!</v>
      </c>
      <c r="L137"/>
      <c r="M137"/>
      <c r="N137"/>
      <c r="O137"/>
      <c r="P137"/>
      <c r="Q137"/>
      <c r="R137"/>
      <c r="S137"/>
      <c r="T137"/>
    </row>
    <row r="138" spans="1:21" ht="23.25" x14ac:dyDescent="0.3">
      <c r="A138" s="116"/>
      <c r="B138" s="26" t="s">
        <v>115</v>
      </c>
      <c r="C138" s="94"/>
      <c r="D138" s="119"/>
      <c r="E138" s="78"/>
      <c r="F138" s="94"/>
      <c r="G138" s="95"/>
      <c r="H138" s="93"/>
      <c r="I138"/>
      <c r="J138" s="37" t="e">
        <f t="shared" si="12"/>
        <v>#DIV/0!</v>
      </c>
      <c r="K138" t="e">
        <f t="shared" si="13"/>
        <v>#DIV/0!</v>
      </c>
      <c r="L138"/>
      <c r="M138"/>
      <c r="N138"/>
      <c r="O138"/>
      <c r="P138"/>
      <c r="Q138"/>
      <c r="R138"/>
      <c r="S138"/>
      <c r="T138"/>
    </row>
    <row r="139" spans="1:21" ht="23.25" x14ac:dyDescent="0.3">
      <c r="A139" s="116"/>
      <c r="B139" s="26" t="s">
        <v>116</v>
      </c>
      <c r="C139" s="92"/>
      <c r="D139" s="119"/>
      <c r="E139" s="78"/>
      <c r="F139" s="92"/>
      <c r="G139" s="93"/>
      <c r="H139" s="93"/>
      <c r="I139"/>
      <c r="J139" t="e">
        <f t="shared" si="12"/>
        <v>#DIV/0!</v>
      </c>
      <c r="K139" t="e">
        <f t="shared" si="13"/>
        <v>#DIV/0!</v>
      </c>
      <c r="L139"/>
      <c r="M139"/>
      <c r="N139"/>
      <c r="O139"/>
      <c r="P139"/>
      <c r="Q139"/>
      <c r="R139"/>
      <c r="S139"/>
      <c r="T139"/>
    </row>
    <row r="140" spans="1:21" ht="22.5" x14ac:dyDescent="0.3">
      <c r="A140" s="120" t="s">
        <v>20</v>
      </c>
      <c r="B140" s="50" t="s">
        <v>18</v>
      </c>
      <c r="C140" s="89"/>
      <c r="D140" s="101"/>
      <c r="E140" s="90"/>
      <c r="F140" s="89"/>
      <c r="G140" s="91"/>
      <c r="H140" s="91"/>
      <c r="I140" s="37">
        <f t="shared" ref="I140" si="14">SUM(I131:I139)</f>
        <v>0</v>
      </c>
      <c r="J140" s="37" t="e">
        <f t="shared" si="12"/>
        <v>#DIV/0!</v>
      </c>
      <c r="K140" s="37" t="e">
        <f t="shared" si="13"/>
        <v>#DIV/0!</v>
      </c>
      <c r="L140"/>
      <c r="M140"/>
      <c r="N140"/>
      <c r="O140"/>
      <c r="P140"/>
      <c r="Q140"/>
      <c r="R140"/>
      <c r="S140"/>
      <c r="T140"/>
    </row>
    <row r="141" spans="1:21" ht="23.25" x14ac:dyDescent="0.3">
      <c r="A141" s="121"/>
      <c r="B141" s="122"/>
      <c r="C141" s="123"/>
      <c r="D141" s="102"/>
      <c r="E141" s="81"/>
      <c r="F141" s="123"/>
      <c r="G141" s="124"/>
      <c r="H141" s="124"/>
      <c r="I141"/>
      <c r="J141"/>
      <c r="K141"/>
      <c r="L141"/>
      <c r="M141"/>
      <c r="N141"/>
      <c r="O141"/>
      <c r="P141"/>
      <c r="Q141"/>
      <c r="R141"/>
      <c r="S141"/>
      <c r="T141"/>
    </row>
    <row r="142" spans="1:21" ht="23.25" thickBot="1" x14ac:dyDescent="0.35">
      <c r="A142" s="121"/>
      <c r="B142" s="125" t="s">
        <v>117</v>
      </c>
      <c r="C142" s="126"/>
      <c r="D142" s="101"/>
      <c r="E142" s="90"/>
      <c r="F142" s="126"/>
      <c r="G142" s="127"/>
      <c r="H142" s="127"/>
      <c r="I142"/>
      <c r="J142"/>
      <c r="K142"/>
      <c r="L142"/>
      <c r="M142"/>
      <c r="N142"/>
      <c r="O142"/>
      <c r="P142"/>
      <c r="Q142"/>
      <c r="R142"/>
      <c r="S142"/>
      <c r="T142"/>
    </row>
    <row r="143" spans="1:21" ht="24" thickTop="1" thickBot="1" x14ac:dyDescent="0.35">
      <c r="A143" s="128"/>
      <c r="B143" s="129" t="s">
        <v>118</v>
      </c>
      <c r="C143" s="130"/>
      <c r="D143" s="79"/>
      <c r="E143" s="79"/>
      <c r="F143" s="130"/>
      <c r="G143" s="131"/>
      <c r="H143" s="131"/>
      <c r="I143" s="37">
        <f t="shared" ref="I143" si="15">+I142-I123</f>
        <v>0</v>
      </c>
      <c r="J143"/>
      <c r="K143"/>
      <c r="L143"/>
      <c r="M143"/>
      <c r="N143"/>
      <c r="O143"/>
      <c r="P143"/>
      <c r="Q143"/>
      <c r="R143"/>
      <c r="S143"/>
      <c r="T143"/>
    </row>
    <row r="144" spans="1:21" ht="18" x14ac:dyDescent="0.25">
      <c r="A144" s="132"/>
      <c r="B144" s="133"/>
      <c r="C144" s="134"/>
      <c r="D144" s="135"/>
      <c r="E144" s="136"/>
      <c r="F144" s="134"/>
      <c r="G144" s="137"/>
      <c r="H144" s="137"/>
      <c r="I144"/>
      <c r="J144"/>
      <c r="K144"/>
      <c r="L144"/>
      <c r="M144"/>
      <c r="N144"/>
      <c r="O144"/>
      <c r="P144"/>
      <c r="Q144"/>
      <c r="R144"/>
    </row>
    <row r="145" spans="1:21" s="24" customFormat="1" ht="23.25" x14ac:dyDescent="0.35">
      <c r="A145" s="138">
        <v>63000000</v>
      </c>
      <c r="B145" s="139" t="s">
        <v>119</v>
      </c>
      <c r="C145" s="140"/>
      <c r="D145" s="141"/>
      <c r="E145" s="141"/>
      <c r="F145" s="140"/>
      <c r="G145" s="142"/>
      <c r="H145" s="142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ht="15.75" x14ac:dyDescent="0.25">
      <c r="A146" s="132"/>
      <c r="B146" s="133"/>
      <c r="C146" s="135"/>
      <c r="D146" s="135"/>
      <c r="E146" s="135"/>
      <c r="F146" s="135"/>
      <c r="G146" s="143"/>
      <c r="H146" s="143"/>
      <c r="I146"/>
      <c r="J146"/>
      <c r="K146"/>
      <c r="L146"/>
      <c r="M146"/>
      <c r="N146"/>
      <c r="O146"/>
      <c r="P146"/>
      <c r="Q146"/>
      <c r="R146"/>
    </row>
    <row r="147" spans="1:21" ht="15.75" x14ac:dyDescent="0.25">
      <c r="A147" s="144"/>
      <c r="B147" s="145"/>
      <c r="C147" s="146"/>
      <c r="D147" s="146"/>
      <c r="E147" s="146"/>
      <c r="F147" s="147"/>
      <c r="G147" s="148"/>
      <c r="H147" s="148"/>
      <c r="I147"/>
      <c r="J147"/>
      <c r="K147"/>
      <c r="L147"/>
      <c r="M147"/>
      <c r="N147"/>
      <c r="O147"/>
      <c r="P147"/>
      <c r="Q147"/>
      <c r="R147"/>
    </row>
    <row r="148" spans="1:21" ht="23.25" x14ac:dyDescent="0.25">
      <c r="A148" s="144"/>
      <c r="B148" s="145"/>
      <c r="C148" s="146"/>
      <c r="D148" s="149"/>
      <c r="E148" s="150"/>
      <c r="F148" s="147"/>
      <c r="G148" s="148"/>
      <c r="H148" s="148"/>
      <c r="I148"/>
      <c r="J148"/>
      <c r="K148"/>
      <c r="L148"/>
      <c r="M148"/>
      <c r="N148"/>
      <c r="O148"/>
      <c r="P148"/>
      <c r="Q148"/>
      <c r="R148"/>
    </row>
    <row r="149" spans="1:21" ht="15.75" x14ac:dyDescent="0.25">
      <c r="A149" s="144"/>
      <c r="B149" s="145"/>
      <c r="C149" s="146"/>
      <c r="D149" s="146"/>
      <c r="E149" s="146"/>
      <c r="F149" s="147"/>
      <c r="G149" s="148"/>
      <c r="H149" s="148"/>
      <c r="I149"/>
      <c r="J149"/>
      <c r="K149"/>
      <c r="L149"/>
      <c r="M149"/>
      <c r="N149"/>
      <c r="O149"/>
      <c r="P149"/>
      <c r="Q149"/>
      <c r="R149"/>
    </row>
    <row r="150" spans="1:21" ht="23.25" x14ac:dyDescent="0.25">
      <c r="A150" s="144"/>
      <c r="B150" s="151"/>
      <c r="C150" s="147"/>
      <c r="D150" s="147"/>
      <c r="E150" s="150"/>
      <c r="F150" s="147"/>
      <c r="G150" s="148"/>
      <c r="H150" s="148"/>
      <c r="I150"/>
      <c r="J150"/>
      <c r="K150"/>
      <c r="L150"/>
      <c r="M150"/>
      <c r="N150"/>
      <c r="O150"/>
      <c r="P150"/>
      <c r="Q150"/>
      <c r="R150"/>
    </row>
    <row r="151" spans="1:21" ht="15.75" x14ac:dyDescent="0.25">
      <c r="A151" s="144"/>
      <c r="B151" s="151"/>
      <c r="C151" s="147"/>
      <c r="D151" s="147"/>
      <c r="E151" s="152"/>
      <c r="F151" s="147"/>
      <c r="G151" s="148"/>
      <c r="H151" s="148"/>
      <c r="I151"/>
      <c r="J151"/>
      <c r="K151"/>
      <c r="L151"/>
      <c r="M151"/>
      <c r="N151"/>
      <c r="O151"/>
      <c r="P151"/>
      <c r="Q151"/>
      <c r="R151"/>
    </row>
    <row r="152" spans="1:21" ht="15.75" x14ac:dyDescent="0.25">
      <c r="A152" s="153"/>
      <c r="B152" s="154"/>
      <c r="C152" s="155"/>
      <c r="D152" s="155"/>
      <c r="E152" s="156"/>
      <c r="F152" s="157"/>
      <c r="G152" s="158"/>
      <c r="H152" s="158"/>
      <c r="I152"/>
      <c r="J152"/>
      <c r="K152"/>
      <c r="L152"/>
      <c r="M152"/>
      <c r="N152"/>
      <c r="O152"/>
      <c r="P152"/>
      <c r="Q152"/>
      <c r="R152"/>
    </row>
    <row r="153" spans="1:21" ht="15.75" x14ac:dyDescent="0.25">
      <c r="A153" s="144"/>
      <c r="B153" s="133"/>
      <c r="C153" s="135"/>
      <c r="D153" s="135"/>
      <c r="E153" s="135"/>
      <c r="F153" s="135"/>
      <c r="G153" s="143"/>
      <c r="H153" s="143"/>
      <c r="I153"/>
      <c r="J153"/>
      <c r="K153"/>
      <c r="L153"/>
      <c r="M153"/>
      <c r="N153"/>
      <c r="O153"/>
      <c r="P153"/>
      <c r="Q153"/>
      <c r="R153"/>
    </row>
    <row r="154" spans="1:21" ht="15.75" x14ac:dyDescent="0.25">
      <c r="A154" s="144"/>
      <c r="B154" s="133"/>
      <c r="C154" s="135"/>
      <c r="D154" s="135"/>
      <c r="E154" s="159"/>
      <c r="F154" s="135"/>
      <c r="G154" s="143"/>
      <c r="H154" s="143"/>
      <c r="I154"/>
      <c r="J154"/>
      <c r="K154"/>
      <c r="L154"/>
      <c r="M154"/>
      <c r="N154"/>
      <c r="O154"/>
      <c r="P154"/>
      <c r="Q154"/>
      <c r="R154"/>
    </row>
    <row r="155" spans="1:21" ht="15.75" x14ac:dyDescent="0.25">
      <c r="A155" s="144"/>
      <c r="B155" s="133"/>
      <c r="C155" s="133"/>
      <c r="D155" s="133"/>
      <c r="E155" s="133"/>
      <c r="F155" s="133"/>
      <c r="G155" s="143"/>
      <c r="H155" s="14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</row>
    <row r="156" spans="1:21" ht="15.75" x14ac:dyDescent="0.25">
      <c r="A156" s="144"/>
      <c r="B156" s="133"/>
      <c r="C156" s="133"/>
      <c r="D156" s="133"/>
      <c r="E156" s="133"/>
      <c r="F156" s="133"/>
      <c r="G156" s="143"/>
      <c r="H156" s="14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</row>
    <row r="157" spans="1:21" ht="15.75" x14ac:dyDescent="0.25">
      <c r="A157" s="144"/>
      <c r="B157" s="133"/>
      <c r="C157" s="133"/>
      <c r="D157" s="133"/>
      <c r="E157" s="133"/>
      <c r="F157" s="133"/>
      <c r="G157" s="143"/>
      <c r="H157" s="14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</row>
    <row r="158" spans="1:21" ht="15.75" x14ac:dyDescent="0.25">
      <c r="A158" s="144"/>
      <c r="B158" s="133"/>
      <c r="C158" s="133"/>
      <c r="D158" s="133"/>
      <c r="E158" s="133"/>
      <c r="F158" s="133"/>
      <c r="G158" s="143"/>
      <c r="H158" s="14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</row>
    <row r="159" spans="1:21" ht="15.75" x14ac:dyDescent="0.25">
      <c r="A159" s="144"/>
      <c r="B159" s="133"/>
      <c r="C159" s="133"/>
      <c r="D159" s="133"/>
      <c r="E159" s="133"/>
      <c r="F159" s="133"/>
      <c r="G159" s="143"/>
      <c r="H159" s="14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</row>
    <row r="160" spans="1:21" ht="15.75" x14ac:dyDescent="0.25">
      <c r="A160" s="144"/>
      <c r="B160" s="133"/>
      <c r="C160" s="133"/>
      <c r="D160" s="133"/>
      <c r="E160" s="133"/>
      <c r="F160" s="133"/>
      <c r="G160" s="143"/>
      <c r="H160" s="14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</row>
    <row r="161" spans="1:18" ht="15.75" x14ac:dyDescent="0.25">
      <c r="A161" s="144"/>
      <c r="B161" s="133"/>
      <c r="C161" s="133"/>
      <c r="D161" s="133"/>
      <c r="E161" s="133"/>
      <c r="F161" s="133"/>
      <c r="G161" s="143"/>
      <c r="H161" s="143"/>
      <c r="I161" s="133"/>
      <c r="J161" s="133"/>
      <c r="K161" s="133"/>
      <c r="L161" s="133"/>
      <c r="M161" s="133"/>
      <c r="N161" s="133"/>
      <c r="O161" s="133"/>
      <c r="P161" s="133"/>
      <c r="Q161" s="160"/>
      <c r="R161" s="160"/>
    </row>
    <row r="162" spans="1:18" ht="15.75" x14ac:dyDescent="0.25">
      <c r="A162" s="144"/>
      <c r="B162" s="133"/>
      <c r="C162" s="133"/>
      <c r="D162" s="133"/>
      <c r="E162" s="133"/>
      <c r="F162" s="133"/>
      <c r="G162" s="143"/>
      <c r="H162" s="143"/>
      <c r="I162" s="133"/>
      <c r="J162" s="133"/>
      <c r="K162" s="133"/>
      <c r="L162" s="133"/>
      <c r="M162" s="133"/>
      <c r="N162" s="133"/>
      <c r="O162" s="133"/>
      <c r="P162" s="133"/>
      <c r="Q162" s="161"/>
      <c r="R162" s="161"/>
    </row>
    <row r="163" spans="1:18" ht="15.75" x14ac:dyDescent="0.25">
      <c r="A163" s="144"/>
      <c r="B163" s="160"/>
      <c r="C163" s="160"/>
      <c r="D163" s="160"/>
      <c r="E163" s="160"/>
      <c r="F163" s="160"/>
      <c r="G163" s="15"/>
      <c r="H163" s="15"/>
      <c r="I163" s="160"/>
      <c r="J163" s="160"/>
      <c r="K163" s="160"/>
      <c r="L163" s="160"/>
      <c r="M163" s="160"/>
      <c r="N163" s="160"/>
      <c r="O163" s="160"/>
      <c r="P163" s="160"/>
      <c r="Q163" s="7"/>
      <c r="R163" s="7"/>
    </row>
    <row r="164" spans="1:18" ht="15.75" x14ac:dyDescent="0.25">
      <c r="A164" s="144"/>
      <c r="B164" s="162"/>
      <c r="C164" s="162"/>
      <c r="D164" s="162"/>
      <c r="E164" s="162"/>
      <c r="F164" s="162"/>
      <c r="G164" s="143"/>
      <c r="H164" s="143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</row>
    <row r="165" spans="1:18" ht="15.75" x14ac:dyDescent="0.25">
      <c r="A165" s="144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x14ac:dyDescent="0.25">
      <c r="A166" s="144"/>
      <c r="B166" s="163"/>
      <c r="C166" s="163"/>
      <c r="D166" s="163"/>
      <c r="E166" s="163"/>
      <c r="F166" s="163"/>
      <c r="G166" s="8"/>
      <c r="H166" s="8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</row>
    <row r="167" spans="1:18" ht="15.75" x14ac:dyDescent="0.25">
      <c r="A167" s="144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x14ac:dyDescent="0.25">
      <c r="A168" s="144"/>
      <c r="B168" s="163"/>
      <c r="C168" s="163"/>
      <c r="D168" s="163"/>
      <c r="E168" s="163"/>
      <c r="F168" s="163"/>
      <c r="G168" s="8"/>
      <c r="H168" s="8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</row>
    <row r="169" spans="1:18" ht="15.75" x14ac:dyDescent="0.25">
      <c r="A169" s="144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x14ac:dyDescent="0.25">
      <c r="A170" s="144"/>
      <c r="B170" s="163"/>
      <c r="C170" s="163"/>
      <c r="D170" s="163"/>
      <c r="E170" s="163"/>
      <c r="F170" s="163"/>
      <c r="G170" s="8"/>
      <c r="H170" s="8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</row>
    <row r="171" spans="1:18" ht="15.75" x14ac:dyDescent="0.25">
      <c r="A171" s="144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x14ac:dyDescent="0.25">
      <c r="A172" s="144"/>
      <c r="B172" s="163"/>
      <c r="C172" s="163"/>
      <c r="D172" s="163"/>
      <c r="E172" s="163"/>
      <c r="F172" s="163"/>
      <c r="G172" s="8"/>
      <c r="H172" s="8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</row>
    <row r="173" spans="1:18" ht="15.75" x14ac:dyDescent="0.25">
      <c r="A173" s="144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  <c r="N173" s="7"/>
      <c r="O173" s="7"/>
      <c r="P173" s="7"/>
      <c r="Q173" s="163"/>
      <c r="R173" s="163"/>
    </row>
    <row r="174" spans="1:18" ht="15.75" x14ac:dyDescent="0.25">
      <c r="A174" s="144"/>
      <c r="B174" s="163"/>
      <c r="C174" s="163"/>
      <c r="D174" s="163"/>
      <c r="E174" s="163"/>
      <c r="F174" s="163"/>
      <c r="G174" s="8"/>
      <c r="H174" s="8"/>
      <c r="I174" s="163"/>
      <c r="J174" s="163"/>
      <c r="K174" s="163"/>
      <c r="L174" s="163"/>
      <c r="M174" s="163"/>
      <c r="N174" s="163"/>
      <c r="O174" s="163"/>
      <c r="P174" s="163"/>
      <c r="Q174" s="133"/>
      <c r="R174" s="133"/>
    </row>
    <row r="175" spans="1:18" ht="15.75" x14ac:dyDescent="0.25">
      <c r="A175" s="144"/>
      <c r="B175" s="163"/>
      <c r="C175" s="163"/>
      <c r="D175" s="163"/>
      <c r="E175" s="163"/>
      <c r="F175" s="163"/>
      <c r="G175" s="8"/>
      <c r="H175" s="8"/>
      <c r="I175" s="163"/>
      <c r="J175" s="163"/>
      <c r="K175" s="163"/>
      <c r="L175" s="163"/>
      <c r="M175" s="163"/>
      <c r="N175" s="163"/>
      <c r="O175" s="163"/>
      <c r="P175" s="163"/>
      <c r="Q175" s="133"/>
      <c r="R175" s="133"/>
    </row>
    <row r="176" spans="1:18" ht="15.75" x14ac:dyDescent="0.25">
      <c r="A176" s="144"/>
      <c r="B176" s="133"/>
      <c r="C176" s="133"/>
      <c r="D176" s="133"/>
      <c r="E176" s="133"/>
      <c r="F176" s="133"/>
      <c r="G176" s="143"/>
      <c r="H176" s="14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</row>
    <row r="177" spans="1:18" ht="15.75" x14ac:dyDescent="0.25">
      <c r="A177" s="144"/>
      <c r="B177" s="133"/>
      <c r="C177" s="133"/>
      <c r="D177" s="133"/>
      <c r="E177" s="133"/>
      <c r="F177" s="133"/>
      <c r="G177" s="143"/>
      <c r="H177" s="14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</row>
    <row r="178" spans="1:18" ht="15.75" x14ac:dyDescent="0.25">
      <c r="A178" s="144"/>
      <c r="B178" s="133"/>
      <c r="C178" s="133"/>
      <c r="D178" s="133"/>
      <c r="E178" s="133"/>
      <c r="F178" s="133"/>
      <c r="G178" s="143"/>
      <c r="H178" s="14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</row>
    <row r="179" spans="1:18" ht="15.75" x14ac:dyDescent="0.25">
      <c r="A179" s="144"/>
      <c r="B179" s="133"/>
      <c r="C179" s="133"/>
      <c r="D179" s="133"/>
      <c r="E179" s="133"/>
      <c r="F179" s="164"/>
      <c r="G179" s="143"/>
      <c r="H179" s="143"/>
      <c r="I179" s="164"/>
      <c r="J179" s="164"/>
      <c r="K179" s="133"/>
      <c r="L179" s="133"/>
      <c r="M179" s="133"/>
      <c r="N179" s="133"/>
      <c r="O179" s="133"/>
      <c r="P179" s="133"/>
      <c r="Q179" s="133"/>
      <c r="R179" s="133"/>
    </row>
    <row r="180" spans="1:18" ht="15.75" x14ac:dyDescent="0.25">
      <c r="A180" s="144"/>
      <c r="B180" s="133"/>
      <c r="C180" s="133"/>
      <c r="D180" s="133"/>
      <c r="E180" s="133"/>
      <c r="F180" s="164"/>
      <c r="G180" s="143"/>
      <c r="H180" s="143"/>
      <c r="I180" s="164"/>
      <c r="J180" s="164"/>
      <c r="K180" s="133"/>
      <c r="L180" s="133"/>
      <c r="M180" s="133"/>
      <c r="N180" s="133"/>
      <c r="O180" s="133"/>
      <c r="P180" s="133"/>
      <c r="Q180" s="133"/>
      <c r="R180" s="133"/>
    </row>
    <row r="181" spans="1:18" ht="15.75" x14ac:dyDescent="0.25">
      <c r="A181" s="144"/>
      <c r="B181" s="133"/>
      <c r="C181" s="133"/>
      <c r="D181" s="133"/>
      <c r="E181" s="133"/>
      <c r="F181" s="164"/>
      <c r="G181" s="143"/>
      <c r="H181" s="143"/>
      <c r="I181" s="164"/>
      <c r="J181" s="164"/>
      <c r="K181" s="133"/>
      <c r="L181" s="133"/>
      <c r="M181" s="133"/>
      <c r="N181" s="133"/>
      <c r="O181" s="133"/>
      <c r="P181" s="133"/>
      <c r="Q181" s="133"/>
      <c r="R181" s="133"/>
    </row>
    <row r="182" spans="1:18" ht="15.75" x14ac:dyDescent="0.25">
      <c r="A182" s="144"/>
      <c r="B182" s="133"/>
      <c r="C182" s="133"/>
      <c r="D182" s="133"/>
      <c r="E182" s="133"/>
      <c r="F182" s="164"/>
      <c r="G182" s="143"/>
      <c r="H182" s="143"/>
      <c r="I182" s="164"/>
      <c r="J182" s="164"/>
      <c r="K182" s="133"/>
      <c r="L182" s="133"/>
      <c r="M182" s="133"/>
      <c r="N182" s="133"/>
      <c r="O182" s="133"/>
      <c r="P182" s="133"/>
      <c r="Q182" s="133"/>
      <c r="R182" s="133"/>
    </row>
    <row r="183" spans="1:18" ht="15.75" x14ac:dyDescent="0.25">
      <c r="A183" s="144"/>
      <c r="B183" s="133"/>
      <c r="C183" s="133"/>
      <c r="D183" s="133"/>
      <c r="E183" s="133"/>
      <c r="F183" s="164"/>
      <c r="G183" s="143"/>
      <c r="H183" s="143"/>
      <c r="I183" s="164"/>
      <c r="J183" s="164"/>
      <c r="K183" s="133"/>
      <c r="L183" s="133"/>
      <c r="M183" s="133"/>
      <c r="N183" s="133"/>
      <c r="O183" s="133"/>
      <c r="P183" s="133"/>
      <c r="Q183" s="133"/>
      <c r="R183" s="133"/>
    </row>
    <row r="184" spans="1:18" ht="15.75" x14ac:dyDescent="0.25">
      <c r="A184" s="144"/>
      <c r="B184" s="133"/>
      <c r="C184" s="133"/>
      <c r="D184" s="133"/>
      <c r="E184" s="133"/>
      <c r="F184" s="164"/>
      <c r="G184" s="143"/>
      <c r="H184" s="143"/>
      <c r="I184" s="164"/>
      <c r="J184" s="164"/>
      <c r="K184" s="133"/>
      <c r="L184" s="133"/>
      <c r="M184" s="133"/>
      <c r="N184" s="133"/>
      <c r="O184" s="133"/>
      <c r="P184" s="133"/>
      <c r="Q184" s="133"/>
      <c r="R184" s="133"/>
    </row>
    <row r="185" spans="1:18" ht="15.75" x14ac:dyDescent="0.25">
      <c r="A185" s="144"/>
      <c r="B185" s="133"/>
      <c r="C185" s="133"/>
      <c r="D185" s="133"/>
      <c r="E185" s="133"/>
      <c r="F185" s="165"/>
      <c r="G185" s="166"/>
      <c r="H185" s="166"/>
      <c r="I185" s="165"/>
      <c r="J185" s="165"/>
      <c r="K185" s="133"/>
      <c r="L185" s="133"/>
      <c r="M185" s="133"/>
      <c r="N185" s="133"/>
      <c r="O185" s="133"/>
      <c r="P185" s="133"/>
      <c r="Q185" s="162"/>
      <c r="R185" s="162"/>
    </row>
    <row r="186" spans="1:18" ht="15.75" x14ac:dyDescent="0.25">
      <c r="A186" s="167"/>
      <c r="B186" s="133"/>
      <c r="C186" s="133"/>
      <c r="D186" s="133"/>
      <c r="E186" s="133"/>
      <c r="F186" s="164"/>
      <c r="G186" s="143"/>
      <c r="H186" s="143"/>
      <c r="I186" s="164"/>
      <c r="J186" s="164"/>
      <c r="K186" s="133"/>
      <c r="L186" s="133"/>
      <c r="M186" s="133"/>
      <c r="N186" s="133"/>
      <c r="O186" s="133"/>
      <c r="P186" s="133"/>
      <c r="Q186" s="162"/>
      <c r="R186" s="162"/>
    </row>
    <row r="187" spans="1:18" ht="15.75" x14ac:dyDescent="0.25">
      <c r="A187" s="167"/>
      <c r="B187" s="162"/>
      <c r="C187" s="162"/>
      <c r="D187" s="162"/>
      <c r="E187" s="162"/>
      <c r="F187" s="164"/>
      <c r="G187" s="143"/>
      <c r="H187" s="143"/>
      <c r="I187" s="164"/>
      <c r="J187" s="164"/>
      <c r="K187" s="162"/>
      <c r="L187" s="162"/>
      <c r="M187" s="162"/>
      <c r="N187" s="162"/>
      <c r="O187" s="162"/>
      <c r="P187" s="162"/>
      <c r="Q187" s="162"/>
      <c r="R187" s="162"/>
    </row>
    <row r="188" spans="1:18" ht="15.75" x14ac:dyDescent="0.25">
      <c r="A188" s="167"/>
      <c r="B188" s="162"/>
      <c r="C188" s="162"/>
      <c r="D188" s="162"/>
      <c r="E188" s="162"/>
      <c r="F188" s="164"/>
      <c r="G188" s="143"/>
      <c r="H188" s="143"/>
      <c r="I188" s="164"/>
      <c r="J188" s="164"/>
      <c r="K188" s="162"/>
      <c r="L188" s="162"/>
      <c r="M188" s="162"/>
      <c r="N188" s="162"/>
      <c r="O188" s="162"/>
      <c r="P188" s="162"/>
      <c r="Q188" s="162"/>
      <c r="R188" s="162"/>
    </row>
    <row r="189" spans="1:18" ht="15.75" x14ac:dyDescent="0.25">
      <c r="A189" s="167"/>
      <c r="B189" s="162"/>
      <c r="C189" s="162"/>
      <c r="D189" s="162"/>
      <c r="E189" s="162"/>
      <c r="F189" s="164"/>
      <c r="G189" s="143"/>
      <c r="H189" s="143"/>
      <c r="I189" s="164"/>
      <c r="J189" s="164"/>
      <c r="K189" s="162"/>
      <c r="L189" s="162"/>
      <c r="M189" s="162"/>
      <c r="N189" s="162"/>
      <c r="O189" s="162"/>
      <c r="P189" s="162"/>
      <c r="Q189" s="162"/>
      <c r="R189" s="162"/>
    </row>
    <row r="190" spans="1:18" ht="15.75" x14ac:dyDescent="0.25">
      <c r="A190" s="167"/>
      <c r="B190" s="162"/>
      <c r="C190" s="162"/>
      <c r="D190" s="162"/>
      <c r="E190" s="162"/>
      <c r="F190" s="164"/>
      <c r="G190" s="143"/>
      <c r="H190" s="143"/>
      <c r="I190" s="164"/>
      <c r="J190" s="164"/>
      <c r="K190" s="162"/>
      <c r="L190" s="162"/>
      <c r="M190" s="162"/>
      <c r="N190" s="162"/>
      <c r="O190" s="162"/>
      <c r="P190" s="162"/>
      <c r="Q190" s="133"/>
      <c r="R190" s="133"/>
    </row>
    <row r="191" spans="1:18" ht="15.75" x14ac:dyDescent="0.25">
      <c r="A191" s="167"/>
      <c r="B191" s="162"/>
      <c r="C191" s="162"/>
      <c r="D191" s="162"/>
      <c r="E191" s="162"/>
      <c r="F191" s="164"/>
      <c r="G191" s="143"/>
      <c r="H191" s="143"/>
      <c r="I191" s="164"/>
      <c r="J191" s="164"/>
      <c r="K191" s="162"/>
      <c r="L191" s="162"/>
      <c r="M191" s="162"/>
      <c r="N191" s="162"/>
      <c r="O191" s="162"/>
      <c r="P191" s="162"/>
      <c r="Q191" s="133"/>
      <c r="R191" s="133"/>
    </row>
    <row r="192" spans="1:18" ht="15.75" x14ac:dyDescent="0.25">
      <c r="A192" s="167"/>
      <c r="B192" s="133"/>
      <c r="C192" s="133"/>
      <c r="D192" s="133"/>
      <c r="E192" s="133"/>
      <c r="F192" s="164"/>
      <c r="G192" s="143"/>
      <c r="H192" s="143"/>
      <c r="I192" s="164"/>
      <c r="J192" s="164"/>
      <c r="K192" s="133"/>
      <c r="L192" s="133"/>
      <c r="M192" s="133"/>
      <c r="N192" s="133"/>
      <c r="O192" s="133"/>
      <c r="P192" s="133"/>
      <c r="Q192" s="133"/>
      <c r="R192" s="133"/>
    </row>
    <row r="193" spans="1:18" ht="15.75" x14ac:dyDescent="0.25">
      <c r="A193" s="167"/>
      <c r="B193" s="133"/>
      <c r="C193" s="133"/>
      <c r="D193" s="133"/>
      <c r="E193" s="133"/>
      <c r="F193" s="164"/>
      <c r="G193" s="143"/>
      <c r="H193" s="143"/>
      <c r="I193" s="164"/>
      <c r="J193" s="164"/>
      <c r="K193" s="133"/>
      <c r="L193" s="133"/>
      <c r="M193" s="133"/>
      <c r="N193" s="133"/>
      <c r="O193" s="133"/>
      <c r="P193" s="133"/>
      <c r="Q193" s="160"/>
      <c r="R193" s="160"/>
    </row>
    <row r="194" spans="1:18" ht="15.75" x14ac:dyDescent="0.25">
      <c r="A194" s="167"/>
      <c r="B194" s="133"/>
      <c r="C194" s="133"/>
      <c r="D194" s="133"/>
      <c r="E194" s="133"/>
      <c r="F194" s="164"/>
      <c r="G194" s="143"/>
      <c r="H194" s="143"/>
      <c r="I194" s="164"/>
      <c r="J194" s="164"/>
      <c r="K194" s="133"/>
      <c r="L194" s="133"/>
      <c r="M194" s="133"/>
      <c r="N194" s="133"/>
      <c r="O194" s="133"/>
      <c r="P194" s="133"/>
      <c r="Q194" s="133"/>
      <c r="R194" s="133"/>
    </row>
    <row r="195" spans="1:18" ht="15.75" x14ac:dyDescent="0.25">
      <c r="A195" s="167"/>
      <c r="B195" s="160"/>
      <c r="C195" s="160"/>
      <c r="D195" s="160"/>
      <c r="E195" s="160"/>
      <c r="F195" s="164"/>
      <c r="G195" s="143"/>
      <c r="H195" s="143"/>
      <c r="I195" s="164"/>
      <c r="J195" s="164"/>
      <c r="K195" s="160"/>
      <c r="L195" s="160"/>
      <c r="M195" s="160"/>
      <c r="N195" s="160"/>
      <c r="O195" s="160"/>
      <c r="P195" s="160"/>
      <c r="Q195" s="133"/>
      <c r="R195" s="133"/>
    </row>
    <row r="196" spans="1:18" ht="15.75" x14ac:dyDescent="0.25">
      <c r="A196" s="167"/>
      <c r="B196" s="133"/>
      <c r="C196" s="133"/>
      <c r="D196" s="133"/>
      <c r="E196" s="133"/>
      <c r="F196" s="164"/>
      <c r="G196" s="143"/>
      <c r="H196" s="143"/>
      <c r="I196" s="164"/>
      <c r="J196" s="164"/>
      <c r="K196" s="133"/>
      <c r="L196" s="133"/>
      <c r="M196" s="133"/>
      <c r="N196" s="133"/>
      <c r="O196" s="133"/>
      <c r="P196" s="133"/>
      <c r="Q196" s="133"/>
      <c r="R196" s="133"/>
    </row>
    <row r="197" spans="1:18" ht="15.75" x14ac:dyDescent="0.25">
      <c r="A197" s="167"/>
      <c r="B197" s="133"/>
      <c r="C197" s="133"/>
      <c r="D197" s="133"/>
      <c r="E197" s="133"/>
      <c r="F197" s="164"/>
      <c r="G197" s="143"/>
      <c r="H197" s="143"/>
      <c r="I197" s="164"/>
      <c r="J197" s="164"/>
      <c r="K197" s="133"/>
      <c r="L197" s="133"/>
      <c r="M197" s="133"/>
      <c r="N197" s="133"/>
      <c r="O197" s="133"/>
      <c r="P197" s="133"/>
      <c r="Q197" s="160"/>
      <c r="R197" s="160"/>
    </row>
    <row r="198" spans="1:18" ht="15.75" x14ac:dyDescent="0.25">
      <c r="A198" s="167"/>
      <c r="B198" s="133"/>
      <c r="C198" s="133"/>
      <c r="D198" s="133"/>
      <c r="E198" s="133"/>
      <c r="F198" s="164"/>
      <c r="G198" s="143"/>
      <c r="H198" s="143"/>
      <c r="I198" s="164"/>
      <c r="J198" s="164"/>
      <c r="K198" s="133"/>
      <c r="L198" s="133"/>
      <c r="M198" s="133"/>
      <c r="N198" s="133"/>
      <c r="O198" s="133"/>
      <c r="P198" s="133"/>
      <c r="Q198" s="133"/>
      <c r="R198" s="133"/>
    </row>
    <row r="199" spans="1:18" ht="15.75" x14ac:dyDescent="0.25">
      <c r="A199" s="167"/>
      <c r="B199" s="160"/>
      <c r="C199" s="160"/>
      <c r="D199" s="160"/>
      <c r="E199" s="160"/>
      <c r="F199" s="164"/>
      <c r="G199" s="143"/>
      <c r="H199" s="143"/>
      <c r="I199" s="164"/>
      <c r="J199" s="164"/>
      <c r="K199" s="160"/>
      <c r="L199" s="160"/>
      <c r="M199" s="160"/>
      <c r="N199" s="160"/>
      <c r="O199" s="160"/>
      <c r="P199" s="160"/>
      <c r="Q199" s="160"/>
      <c r="R199" s="160"/>
    </row>
    <row r="200" spans="1:18" ht="15.75" x14ac:dyDescent="0.25">
      <c r="A200" s="167"/>
      <c r="B200" s="133"/>
      <c r="C200" s="133"/>
      <c r="D200" s="133"/>
      <c r="E200" s="133"/>
      <c r="F200" s="164"/>
      <c r="G200" s="143"/>
      <c r="H200" s="143"/>
      <c r="I200" s="164"/>
      <c r="J200" s="164"/>
      <c r="K200" s="133"/>
      <c r="L200" s="133"/>
      <c r="M200" s="133"/>
      <c r="N200" s="133"/>
      <c r="O200" s="133"/>
      <c r="P200" s="133"/>
      <c r="Q200" s="133"/>
      <c r="R200" s="133"/>
    </row>
    <row r="201" spans="1:18" ht="15.75" x14ac:dyDescent="0.25">
      <c r="A201" s="167"/>
      <c r="B201" s="160"/>
      <c r="C201" s="160"/>
      <c r="D201" s="160"/>
      <c r="E201" s="160"/>
      <c r="F201" s="164"/>
      <c r="G201" s="143"/>
      <c r="H201" s="143"/>
      <c r="I201" s="164"/>
      <c r="J201" s="164"/>
      <c r="K201" s="160"/>
      <c r="L201" s="160"/>
      <c r="M201" s="160"/>
      <c r="N201" s="160"/>
      <c r="O201" s="160"/>
      <c r="P201" s="160"/>
      <c r="Q201" s="133"/>
      <c r="R201" s="133"/>
    </row>
    <row r="202" spans="1:18" ht="15.75" x14ac:dyDescent="0.25">
      <c r="A202" s="167"/>
      <c r="B202" s="133"/>
      <c r="C202" s="133"/>
      <c r="D202" s="133"/>
      <c r="E202" s="133"/>
      <c r="F202" s="164"/>
      <c r="G202" s="143"/>
      <c r="H202" s="143"/>
      <c r="I202" s="164"/>
      <c r="J202" s="164"/>
      <c r="K202" s="133"/>
      <c r="L202" s="133"/>
      <c r="M202" s="133"/>
      <c r="N202" s="133"/>
      <c r="O202" s="133"/>
      <c r="P202" s="133"/>
      <c r="Q202" s="133"/>
      <c r="R202" s="133"/>
    </row>
    <row r="203" spans="1:18" ht="15.75" x14ac:dyDescent="0.25">
      <c r="A203" s="167"/>
      <c r="B203" s="133"/>
      <c r="C203" s="133"/>
      <c r="D203" s="133"/>
      <c r="E203" s="133"/>
      <c r="F203" s="164"/>
      <c r="G203" s="143"/>
      <c r="H203" s="143"/>
      <c r="I203" s="164"/>
      <c r="J203" s="164"/>
      <c r="K203" s="133"/>
      <c r="L203" s="133"/>
      <c r="M203" s="133"/>
      <c r="N203" s="133"/>
      <c r="O203" s="133"/>
      <c r="P203" s="133"/>
      <c r="Q203" s="160"/>
      <c r="R203" s="160"/>
    </row>
    <row r="204" spans="1:18" ht="15.75" x14ac:dyDescent="0.25">
      <c r="A204" s="167"/>
      <c r="B204" s="133"/>
      <c r="C204" s="133"/>
      <c r="D204" s="133"/>
      <c r="E204" s="133"/>
      <c r="F204" s="164"/>
      <c r="G204" s="143"/>
      <c r="H204" s="143"/>
      <c r="I204" s="164"/>
      <c r="J204" s="164"/>
      <c r="K204" s="133"/>
      <c r="L204" s="133"/>
      <c r="M204" s="133"/>
      <c r="N204" s="133"/>
      <c r="O204" s="133"/>
      <c r="P204" s="133"/>
      <c r="Q204" s="160"/>
      <c r="R204" s="160"/>
    </row>
    <row r="205" spans="1:18" ht="15.75" x14ac:dyDescent="0.25">
      <c r="A205" s="167"/>
      <c r="B205" s="160"/>
      <c r="C205" s="160"/>
      <c r="D205" s="160"/>
      <c r="E205" s="160"/>
      <c r="F205" s="164"/>
      <c r="G205" s="143"/>
      <c r="H205" s="143"/>
      <c r="I205" s="164"/>
      <c r="J205" s="164"/>
      <c r="K205" s="160"/>
      <c r="L205" s="160"/>
      <c r="M205" s="160"/>
      <c r="N205" s="160"/>
      <c r="O205" s="160"/>
      <c r="P205" s="160"/>
      <c r="Q205" s="160"/>
      <c r="R205" s="160"/>
    </row>
    <row r="206" spans="1:18" ht="15.75" x14ac:dyDescent="0.25">
      <c r="A206" s="167"/>
      <c r="B206" s="160"/>
      <c r="C206" s="160"/>
      <c r="D206" s="160"/>
      <c r="E206" s="160"/>
      <c r="F206" s="164"/>
      <c r="G206" s="143"/>
      <c r="H206" s="143"/>
      <c r="I206" s="164"/>
      <c r="J206" s="164"/>
      <c r="K206" s="160"/>
      <c r="L206" s="160"/>
      <c r="M206" s="160"/>
      <c r="N206" s="160"/>
      <c r="O206" s="160"/>
      <c r="P206" s="160"/>
      <c r="Q206" s="133"/>
      <c r="R206" s="133"/>
    </row>
    <row r="207" spans="1:18" ht="15.75" x14ac:dyDescent="0.25">
      <c r="A207" s="167"/>
      <c r="B207" s="160"/>
      <c r="C207" s="160"/>
      <c r="D207" s="160"/>
      <c r="E207" s="160"/>
      <c r="F207" s="164"/>
      <c r="G207" s="143"/>
      <c r="H207" s="143"/>
      <c r="I207" s="164"/>
      <c r="J207" s="164"/>
      <c r="K207" s="160"/>
      <c r="L207" s="160"/>
      <c r="M207" s="160"/>
      <c r="N207" s="160"/>
      <c r="O207" s="160"/>
      <c r="P207" s="160"/>
      <c r="Q207" s="133"/>
      <c r="R207" s="133"/>
    </row>
    <row r="208" spans="1:18" ht="15.75" x14ac:dyDescent="0.25">
      <c r="A208" s="167"/>
      <c r="B208" s="133"/>
      <c r="C208" s="133"/>
      <c r="D208" s="133"/>
      <c r="E208" s="133"/>
      <c r="F208" s="164"/>
      <c r="G208" s="143"/>
      <c r="H208" s="143"/>
      <c r="I208" s="164"/>
      <c r="J208" s="164"/>
      <c r="K208" s="133"/>
      <c r="L208" s="133"/>
      <c r="M208" s="133"/>
      <c r="N208" s="133"/>
      <c r="O208" s="133"/>
      <c r="P208" s="133"/>
      <c r="Q208" s="133"/>
      <c r="R208" s="133"/>
    </row>
    <row r="209" spans="1:18" ht="15.75" x14ac:dyDescent="0.25">
      <c r="A209" s="167"/>
      <c r="B209" s="133"/>
      <c r="C209" s="133"/>
      <c r="D209" s="133"/>
      <c r="E209" s="133"/>
      <c r="F209" s="164"/>
      <c r="G209" s="143"/>
      <c r="H209" s="143"/>
      <c r="I209" s="164"/>
      <c r="J209" s="164"/>
      <c r="K209" s="133"/>
      <c r="L209" s="133"/>
      <c r="M209" s="133"/>
      <c r="N209" s="133"/>
      <c r="O209" s="133"/>
      <c r="P209" s="133"/>
      <c r="Q209" s="133"/>
      <c r="R209" s="133"/>
    </row>
    <row r="210" spans="1:18" ht="15.75" x14ac:dyDescent="0.25">
      <c r="A210" s="167"/>
      <c r="B210" s="133"/>
      <c r="C210" s="133"/>
      <c r="D210" s="133"/>
      <c r="E210" s="133"/>
      <c r="F210" s="168"/>
      <c r="G210" s="143"/>
      <c r="H210" s="143"/>
      <c r="I210" s="168"/>
      <c r="J210" s="168"/>
      <c r="K210" s="133"/>
      <c r="L210" s="133"/>
      <c r="M210" s="133"/>
      <c r="N210" s="133"/>
      <c r="O210" s="133"/>
      <c r="P210" s="133"/>
      <c r="Q210" s="133"/>
      <c r="R210" s="133"/>
    </row>
    <row r="211" spans="1:18" ht="15.75" x14ac:dyDescent="0.25">
      <c r="A211" s="167"/>
      <c r="B211" s="133"/>
      <c r="C211" s="133"/>
      <c r="D211" s="133"/>
      <c r="E211" s="133"/>
      <c r="F211" s="168"/>
      <c r="G211" s="143"/>
      <c r="H211" s="143"/>
      <c r="I211" s="168"/>
      <c r="J211" s="168"/>
      <c r="K211" s="133"/>
      <c r="L211" s="133"/>
      <c r="M211" s="133"/>
      <c r="N211" s="133"/>
      <c r="O211" s="133"/>
      <c r="P211" s="133"/>
      <c r="Q211" s="133"/>
      <c r="R211" s="133"/>
    </row>
    <row r="212" spans="1:18" ht="15.75" x14ac:dyDescent="0.25">
      <c r="A212" s="167"/>
      <c r="B212" s="133"/>
      <c r="C212" s="133"/>
      <c r="D212" s="133"/>
      <c r="E212" s="133"/>
      <c r="F212" s="169"/>
      <c r="G212" s="143"/>
      <c r="H212" s="14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</row>
    <row r="213" spans="1:18" ht="15.75" x14ac:dyDescent="0.25">
      <c r="A213" s="167"/>
      <c r="B213" s="133"/>
      <c r="C213" s="133"/>
      <c r="D213" s="133"/>
      <c r="E213" s="133"/>
      <c r="F213" s="133"/>
      <c r="G213" s="143"/>
      <c r="H213" s="14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</row>
    <row r="214" spans="1:18" ht="15.75" x14ac:dyDescent="0.25">
      <c r="A214" s="167"/>
      <c r="B214" s="133"/>
      <c r="C214" s="133"/>
      <c r="D214" s="133"/>
      <c r="E214" s="133"/>
      <c r="F214" s="133"/>
      <c r="G214" s="143"/>
      <c r="H214" s="14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</row>
    <row r="215" spans="1:18" ht="15.75" x14ac:dyDescent="0.25">
      <c r="A215" s="167"/>
      <c r="B215" s="133"/>
      <c r="C215" s="133"/>
      <c r="D215" s="133"/>
      <c r="E215" s="133"/>
      <c r="F215" s="133"/>
      <c r="G215" s="143"/>
      <c r="H215" s="143"/>
      <c r="I215" s="133"/>
      <c r="J215" s="133"/>
      <c r="K215" s="133"/>
      <c r="L215" s="133"/>
      <c r="M215" s="133"/>
      <c r="N215" s="133"/>
      <c r="O215" s="133"/>
      <c r="P215" s="133"/>
      <c r="Q215" s="160"/>
      <c r="R215" s="160"/>
    </row>
    <row r="216" spans="1:18" ht="15.75" x14ac:dyDescent="0.25">
      <c r="A216" s="167"/>
      <c r="B216" s="133"/>
      <c r="C216" s="133"/>
      <c r="D216" s="133"/>
      <c r="E216" s="133"/>
      <c r="F216" s="133"/>
      <c r="G216" s="143"/>
      <c r="H216" s="14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</row>
    <row r="217" spans="1:18" ht="15.75" x14ac:dyDescent="0.25">
      <c r="A217" s="167"/>
      <c r="B217" s="160"/>
      <c r="C217" s="160"/>
      <c r="D217" s="160"/>
      <c r="E217" s="160"/>
      <c r="F217" s="160"/>
      <c r="G217" s="15"/>
      <c r="H217" s="15"/>
      <c r="I217" s="160"/>
      <c r="J217" s="160"/>
      <c r="K217" s="160"/>
      <c r="L217" s="160"/>
      <c r="M217" s="160"/>
      <c r="N217" s="160"/>
      <c r="O217" s="160"/>
      <c r="P217" s="160"/>
      <c r="Q217" s="133"/>
      <c r="R217" s="133"/>
    </row>
    <row r="218" spans="1:18" ht="15.75" x14ac:dyDescent="0.25">
      <c r="A218" s="167"/>
      <c r="B218" s="133"/>
      <c r="C218" s="133"/>
      <c r="D218" s="133"/>
      <c r="E218" s="133"/>
      <c r="F218" s="133"/>
      <c r="G218" s="143"/>
      <c r="H218" s="14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</row>
    <row r="219" spans="1:18" ht="15.75" x14ac:dyDescent="0.25">
      <c r="A219" s="167"/>
      <c r="B219" s="133"/>
      <c r="C219" s="133"/>
      <c r="D219" s="133"/>
      <c r="E219" s="133"/>
      <c r="F219" s="133"/>
      <c r="G219" s="143"/>
      <c r="H219" s="143"/>
      <c r="I219" s="133"/>
      <c r="J219" s="133"/>
      <c r="K219" s="133"/>
      <c r="L219" s="133"/>
      <c r="M219" s="133"/>
      <c r="N219" s="133"/>
      <c r="O219" s="133"/>
      <c r="P219" s="133"/>
      <c r="Q219" s="160"/>
      <c r="R219" s="160"/>
    </row>
    <row r="220" spans="1:18" ht="15.75" x14ac:dyDescent="0.25">
      <c r="A220" s="167"/>
      <c r="B220" s="133"/>
      <c r="C220" s="133"/>
      <c r="D220" s="133"/>
      <c r="E220" s="133"/>
      <c r="F220" s="133"/>
      <c r="G220" s="143"/>
      <c r="H220" s="14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</row>
    <row r="221" spans="1:18" ht="15.75" x14ac:dyDescent="0.25">
      <c r="A221" s="167"/>
      <c r="B221" s="160"/>
      <c r="C221" s="160"/>
      <c r="D221" s="160"/>
      <c r="E221" s="160"/>
      <c r="F221" s="160"/>
      <c r="G221" s="15"/>
      <c r="H221" s="15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</row>
    <row r="222" spans="1:18" ht="15.75" x14ac:dyDescent="0.25">
      <c r="A222" s="167"/>
      <c r="B222" s="133"/>
      <c r="C222" s="133"/>
      <c r="D222" s="133"/>
      <c r="E222" s="133"/>
      <c r="F222" s="133"/>
      <c r="G222" s="143"/>
      <c r="H222" s="14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</row>
    <row r="223" spans="1:18" ht="15.75" x14ac:dyDescent="0.25">
      <c r="A223" s="167"/>
      <c r="B223" s="160"/>
      <c r="C223" s="160"/>
      <c r="D223" s="160"/>
      <c r="E223" s="160"/>
      <c r="F223" s="160"/>
      <c r="G223" s="15"/>
      <c r="H223" s="15"/>
      <c r="I223" s="160"/>
      <c r="J223" s="160"/>
      <c r="K223" s="160"/>
      <c r="L223" s="160"/>
      <c r="M223" s="160"/>
      <c r="N223" s="160"/>
      <c r="O223" s="160"/>
      <c r="P223" s="160"/>
      <c r="Q223" s="133"/>
      <c r="R223" s="133"/>
    </row>
    <row r="224" spans="1:18" ht="15.75" x14ac:dyDescent="0.25">
      <c r="A224" s="167"/>
      <c r="B224" s="133"/>
      <c r="C224" s="133"/>
      <c r="D224" s="133"/>
      <c r="E224" s="133"/>
      <c r="F224" s="133"/>
      <c r="G224" s="143"/>
      <c r="H224" s="14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</row>
    <row r="225" spans="1:18" ht="15.75" x14ac:dyDescent="0.25">
      <c r="A225" s="167"/>
      <c r="B225" s="133"/>
      <c r="C225" s="133"/>
      <c r="D225" s="133"/>
      <c r="E225" s="133"/>
      <c r="F225" s="133"/>
      <c r="G225" s="143"/>
      <c r="H225" s="14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</row>
    <row r="226" spans="1:18" ht="15.75" x14ac:dyDescent="0.25">
      <c r="A226" s="167"/>
      <c r="B226" s="133"/>
      <c r="C226" s="133"/>
      <c r="D226" s="133"/>
      <c r="E226" s="133"/>
      <c r="F226" s="133"/>
      <c r="G226" s="143"/>
      <c r="H226" s="14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</row>
    <row r="227" spans="1:18" ht="15.75" x14ac:dyDescent="0.25">
      <c r="A227" s="167"/>
      <c r="B227" s="133"/>
      <c r="C227" s="133"/>
      <c r="D227" s="133"/>
      <c r="E227" s="133"/>
      <c r="F227" s="133"/>
      <c r="G227" s="143"/>
      <c r="H227" s="14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</row>
    <row r="228" spans="1:18" ht="15.75" x14ac:dyDescent="0.25">
      <c r="A228" s="167"/>
      <c r="B228" s="133"/>
      <c r="C228" s="133"/>
      <c r="D228" s="133"/>
      <c r="E228" s="133"/>
      <c r="F228" s="133"/>
      <c r="G228" s="143"/>
      <c r="H228" s="14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</row>
    <row r="229" spans="1:18" ht="15.75" x14ac:dyDescent="0.25">
      <c r="A229" s="167"/>
      <c r="B229" s="133"/>
      <c r="C229" s="133"/>
      <c r="D229" s="133"/>
      <c r="E229" s="133"/>
      <c r="F229" s="133"/>
      <c r="G229" s="143"/>
      <c r="H229" s="14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</row>
    <row r="230" spans="1:18" ht="15.75" x14ac:dyDescent="0.25">
      <c r="A230" s="167"/>
      <c r="B230" s="133"/>
      <c r="C230" s="133"/>
      <c r="D230" s="133"/>
      <c r="E230" s="133"/>
      <c r="F230" s="133"/>
      <c r="G230" s="143"/>
      <c r="H230" s="14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</row>
    <row r="231" spans="1:18" ht="15.75" x14ac:dyDescent="0.25">
      <c r="A231" s="167"/>
      <c r="B231" s="133"/>
      <c r="C231" s="133"/>
      <c r="D231" s="133"/>
      <c r="E231" s="133"/>
      <c r="F231" s="133"/>
      <c r="G231" s="143"/>
      <c r="H231" s="143"/>
      <c r="I231" s="133"/>
      <c r="J231" s="133"/>
      <c r="K231" s="133"/>
      <c r="L231" s="133"/>
      <c r="M231" s="133"/>
      <c r="N231" s="133"/>
      <c r="O231" s="133"/>
      <c r="P231" s="133"/>
    </row>
    <row r="232" spans="1:18" ht="15.75" x14ac:dyDescent="0.25">
      <c r="A232" s="167"/>
      <c r="B232" s="133"/>
      <c r="C232" s="133"/>
      <c r="D232" s="133"/>
      <c r="E232" s="133"/>
      <c r="F232" s="133"/>
      <c r="G232" s="143"/>
      <c r="H232" s="143"/>
      <c r="I232" s="133"/>
      <c r="J232" s="133"/>
      <c r="K232" s="133"/>
      <c r="L232" s="133"/>
      <c r="M232" s="133"/>
      <c r="N232" s="133"/>
      <c r="O232" s="133"/>
      <c r="P232" s="133"/>
    </row>
    <row r="233" spans="1:18" x14ac:dyDescent="0.2">
      <c r="B233" s="170"/>
      <c r="C233" s="170"/>
      <c r="D233" s="170"/>
      <c r="E233" s="170"/>
    </row>
    <row r="234" spans="1:18" x14ac:dyDescent="0.2">
      <c r="B234" s="172"/>
      <c r="C234" s="172"/>
      <c r="D234" s="172"/>
      <c r="E234" s="172"/>
    </row>
    <row r="235" spans="1:18" x14ac:dyDescent="0.2">
      <c r="B235" s="170"/>
      <c r="C235" s="170"/>
      <c r="D235" s="170"/>
      <c r="E235" s="170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1452-3E91-4F2E-8456-C0BFBB876CA0}">
  <sheetPr>
    <tabColor rgb="FF00B050"/>
  </sheetPr>
  <dimension ref="A2:O74"/>
  <sheetViews>
    <sheetView showGridLines="0" workbookViewId="0">
      <selection activeCell="A16" sqref="A16:XFD63"/>
    </sheetView>
  </sheetViews>
  <sheetFormatPr defaultColWidth="8.7109375" defaultRowHeight="21" x14ac:dyDescent="0.35"/>
  <cols>
    <col min="1" max="1" width="6.85546875" style="174" customWidth="1"/>
    <col min="2" max="2" width="32" style="174" customWidth="1"/>
    <col min="3" max="3" width="19" style="174" customWidth="1"/>
    <col min="4" max="5" width="19" customWidth="1"/>
    <col min="6" max="15" width="19" style="174" customWidth="1"/>
    <col min="16" max="16" width="22.7109375" style="174" customWidth="1"/>
    <col min="17" max="17" width="8.7109375" style="174"/>
    <col min="18" max="18" width="16.7109375" style="174" customWidth="1"/>
    <col min="19" max="19" width="8.7109375" style="174"/>
    <col min="20" max="20" width="19.28515625" style="174" customWidth="1"/>
    <col min="21" max="16384" width="8.7109375" style="174"/>
  </cols>
  <sheetData>
    <row r="2" spans="2:15" x14ac:dyDescent="0.35">
      <c r="B2" s="173" t="s">
        <v>120</v>
      </c>
      <c r="C2" s="173"/>
      <c r="D2" s="173"/>
      <c r="E2" s="173"/>
    </row>
    <row r="3" spans="2:15" ht="21.75" thickBot="1" x14ac:dyDescent="0.4">
      <c r="B3" s="173"/>
      <c r="C3" s="173"/>
      <c r="D3" s="173"/>
      <c r="E3" s="173"/>
    </row>
    <row r="4" spans="2:15" ht="54" customHeight="1" thickBot="1" x14ac:dyDescent="0.4">
      <c r="B4" s="175" t="s">
        <v>121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7"/>
    </row>
    <row r="5" spans="2:15" ht="45" customHeight="1" thickBot="1" x14ac:dyDescent="0.4">
      <c r="B5" s="178" t="s">
        <v>122</v>
      </c>
      <c r="C5" s="179" t="s">
        <v>123</v>
      </c>
      <c r="D5" s="180" t="s">
        <v>124</v>
      </c>
      <c r="E5" s="181" t="s">
        <v>125</v>
      </c>
      <c r="F5" s="182" t="s">
        <v>126</v>
      </c>
      <c r="G5" s="183" t="s">
        <v>127</v>
      </c>
      <c r="H5" s="183" t="s">
        <v>128</v>
      </c>
      <c r="I5" s="181" t="s">
        <v>129</v>
      </c>
      <c r="J5" s="184" t="s">
        <v>130</v>
      </c>
      <c r="K5" s="184" t="s">
        <v>131</v>
      </c>
      <c r="L5" s="181" t="s">
        <v>132</v>
      </c>
      <c r="M5" s="185" t="s">
        <v>133</v>
      </c>
      <c r="N5" s="186"/>
      <c r="O5" s="187"/>
    </row>
    <row r="6" spans="2:15" ht="21.75" thickBot="1" x14ac:dyDescent="0.4">
      <c r="B6" s="188" t="s">
        <v>134</v>
      </c>
      <c r="C6" s="189"/>
      <c r="D6" s="190"/>
      <c r="E6" s="191"/>
      <c r="F6" s="192"/>
      <c r="G6" s="193"/>
      <c r="H6" s="194"/>
      <c r="I6" s="191"/>
      <c r="J6" s="195"/>
      <c r="K6" s="196"/>
      <c r="L6" s="197"/>
      <c r="M6" s="198"/>
      <c r="N6" s="199"/>
    </row>
    <row r="7" spans="2:15" ht="21.75" thickBot="1" x14ac:dyDescent="0.4">
      <c r="B7" s="200" t="s">
        <v>135</v>
      </c>
      <c r="C7" s="189"/>
      <c r="D7" s="190"/>
      <c r="E7" s="201"/>
      <c r="F7" s="192"/>
      <c r="G7" s="193"/>
      <c r="H7" s="202"/>
      <c r="I7" s="201"/>
      <c r="J7" s="195"/>
      <c r="K7" s="196"/>
      <c r="L7" s="197"/>
      <c r="M7" s="203"/>
      <c r="N7" s="199"/>
    </row>
    <row r="8" spans="2:15" ht="21.75" thickBot="1" x14ac:dyDescent="0.4">
      <c r="B8" s="200" t="s">
        <v>136</v>
      </c>
      <c r="C8" s="189"/>
      <c r="D8" s="190"/>
      <c r="E8" s="201"/>
      <c r="F8" s="192"/>
      <c r="G8" s="193"/>
      <c r="H8" s="204"/>
      <c r="I8" s="201"/>
      <c r="J8" s="195"/>
      <c r="K8" s="196"/>
      <c r="L8" s="197"/>
      <c r="M8" s="205"/>
      <c r="N8" s="199"/>
    </row>
    <row r="9" spans="2:15" ht="42.75" thickBot="1" x14ac:dyDescent="0.4">
      <c r="B9" s="200" t="s">
        <v>137</v>
      </c>
      <c r="C9" s="189"/>
      <c r="D9" s="190"/>
      <c r="E9" s="201"/>
      <c r="F9" s="192"/>
      <c r="G9" s="193"/>
      <c r="H9" s="206"/>
      <c r="I9" s="201"/>
      <c r="J9" s="195"/>
      <c r="K9" s="196"/>
      <c r="L9" s="197"/>
      <c r="M9" s="203"/>
      <c r="N9" s="207"/>
    </row>
    <row r="10" spans="2:15" ht="21.75" thickBot="1" x14ac:dyDescent="0.4">
      <c r="B10" s="208" t="s">
        <v>138</v>
      </c>
      <c r="C10" s="189"/>
      <c r="D10" s="190"/>
      <c r="E10" s="201"/>
      <c r="F10" s="192"/>
      <c r="G10" s="193"/>
      <c r="H10" s="206"/>
      <c r="I10" s="201"/>
      <c r="J10" s="195"/>
      <c r="K10" s="209"/>
      <c r="L10" s="197"/>
      <c r="M10" s="203"/>
      <c r="N10" s="207"/>
    </row>
    <row r="11" spans="2:15" ht="21.75" thickBot="1" x14ac:dyDescent="0.4">
      <c r="B11" s="210" t="s">
        <v>139</v>
      </c>
      <c r="C11" s="189"/>
      <c r="D11" s="190"/>
      <c r="E11" s="201"/>
      <c r="F11" s="192"/>
      <c r="G11" s="193"/>
      <c r="H11" s="206"/>
      <c r="I11" s="201"/>
      <c r="J11" s="195"/>
      <c r="K11" s="196"/>
      <c r="L11" s="197"/>
      <c r="M11" s="203"/>
      <c r="N11" s="199"/>
    </row>
    <row r="12" spans="2:15" ht="21.75" thickBot="1" x14ac:dyDescent="0.4">
      <c r="B12" s="210" t="s">
        <v>140</v>
      </c>
      <c r="C12" s="189"/>
      <c r="D12" s="190"/>
      <c r="E12" s="201"/>
      <c r="F12" s="192"/>
      <c r="G12" s="193"/>
      <c r="H12" s="206"/>
      <c r="I12" s="201"/>
      <c r="J12" s="195"/>
      <c r="K12" s="196"/>
      <c r="L12" s="197"/>
      <c r="M12" s="203"/>
      <c r="N12" s="199"/>
    </row>
    <row r="13" spans="2:15" ht="21.75" thickBot="1" x14ac:dyDescent="0.4">
      <c r="B13" s="211" t="s">
        <v>141</v>
      </c>
      <c r="C13" s="212"/>
      <c r="D13" s="213"/>
      <c r="E13" s="214"/>
      <c r="F13" s="215"/>
      <c r="G13" s="193"/>
      <c r="H13" s="216"/>
      <c r="I13" s="201"/>
      <c r="J13" s="195"/>
      <c r="K13" s="209"/>
      <c r="L13" s="217"/>
      <c r="M13" s="218"/>
      <c r="N13" s="199"/>
    </row>
    <row r="14" spans="2:15" ht="30" customHeight="1" thickBot="1" x14ac:dyDescent="0.4">
      <c r="B14" s="219" t="s">
        <v>142</v>
      </c>
      <c r="C14" s="220"/>
      <c r="D14" s="220"/>
      <c r="E14" s="221"/>
      <c r="F14" s="222"/>
      <c r="G14" s="223"/>
      <c r="H14" s="224"/>
      <c r="I14" s="225"/>
      <c r="J14" s="226"/>
      <c r="K14" s="227"/>
      <c r="L14" s="227"/>
      <c r="M14" s="228"/>
      <c r="N14" s="229"/>
    </row>
    <row r="15" spans="2:15" ht="37.9" customHeight="1" thickBot="1" x14ac:dyDescent="0.4">
      <c r="B15" s="210" t="s">
        <v>143</v>
      </c>
      <c r="C15" s="230"/>
      <c r="D15" s="231"/>
      <c r="E15" s="195"/>
      <c r="F15" s="232"/>
      <c r="G15" s="233"/>
      <c r="H15" s="206"/>
      <c r="I15" s="191"/>
      <c r="J15" s="195"/>
      <c r="K15" s="196"/>
      <c r="L15" s="197"/>
      <c r="M15" s="234"/>
      <c r="N15" s="199"/>
    </row>
    <row r="16" spans="2:15" hidden="1" x14ac:dyDescent="0.35">
      <c r="C16" s="235">
        <v>2023</v>
      </c>
      <c r="D16" s="235">
        <v>2021</v>
      </c>
      <c r="E16" s="236"/>
      <c r="I16" s="237"/>
      <c r="J16" s="237"/>
    </row>
    <row r="17" spans="1:15" hidden="1" x14ac:dyDescent="0.35">
      <c r="C17" s="238">
        <f t="shared" ref="C17:C25" si="0">E6/12</f>
        <v>0</v>
      </c>
      <c r="D17" s="239">
        <f>L6/12</f>
        <v>0</v>
      </c>
      <c r="E17" s="240">
        <f>K6/12</f>
        <v>0</v>
      </c>
      <c r="K17" s="241"/>
    </row>
    <row r="18" spans="1:15" hidden="1" x14ac:dyDescent="0.35">
      <c r="C18" s="238">
        <f t="shared" si="0"/>
        <v>0</v>
      </c>
      <c r="D18" s="239">
        <f t="shared" ref="D18:D25" si="1">L7/12</f>
        <v>0</v>
      </c>
      <c r="E18" s="240">
        <f t="shared" ref="E18:E25" si="2">K7/12</f>
        <v>0</v>
      </c>
      <c r="G18" s="242"/>
    </row>
    <row r="19" spans="1:15" hidden="1" x14ac:dyDescent="0.35">
      <c r="C19" s="238">
        <f t="shared" si="0"/>
        <v>0</v>
      </c>
      <c r="D19" s="239">
        <f t="shared" si="1"/>
        <v>0</v>
      </c>
      <c r="E19" s="240">
        <f t="shared" si="2"/>
        <v>0</v>
      </c>
    </row>
    <row r="20" spans="1:15" hidden="1" x14ac:dyDescent="0.35">
      <c r="C20" s="238">
        <f t="shared" si="0"/>
        <v>0</v>
      </c>
      <c r="D20" s="239">
        <f t="shared" si="1"/>
        <v>0</v>
      </c>
      <c r="E20" s="240">
        <f t="shared" si="2"/>
        <v>0</v>
      </c>
    </row>
    <row r="21" spans="1:15" hidden="1" x14ac:dyDescent="0.35">
      <c r="C21" s="238">
        <f t="shared" si="0"/>
        <v>0</v>
      </c>
      <c r="D21" s="239">
        <f t="shared" si="1"/>
        <v>0</v>
      </c>
      <c r="E21" s="240">
        <f t="shared" si="2"/>
        <v>0</v>
      </c>
    </row>
    <row r="22" spans="1:15" hidden="1" x14ac:dyDescent="0.35">
      <c r="C22" s="238">
        <f t="shared" si="0"/>
        <v>0</v>
      </c>
      <c r="D22" s="239">
        <f t="shared" si="1"/>
        <v>0</v>
      </c>
      <c r="E22" s="240">
        <f t="shared" si="2"/>
        <v>0</v>
      </c>
      <c r="I22" s="243"/>
    </row>
    <row r="23" spans="1:15" hidden="1" x14ac:dyDescent="0.35">
      <c r="C23" s="238">
        <f t="shared" si="0"/>
        <v>0</v>
      </c>
      <c r="D23" s="239">
        <f t="shared" si="1"/>
        <v>0</v>
      </c>
      <c r="E23" s="240">
        <f t="shared" si="2"/>
        <v>0</v>
      </c>
    </row>
    <row r="24" spans="1:15" hidden="1" x14ac:dyDescent="0.35">
      <c r="C24" s="238">
        <f t="shared" si="0"/>
        <v>0</v>
      </c>
      <c r="D24" s="239">
        <f t="shared" si="1"/>
        <v>0</v>
      </c>
      <c r="E24" s="240">
        <f t="shared" si="2"/>
        <v>0</v>
      </c>
      <c r="J24" s="244"/>
    </row>
    <row r="25" spans="1:15" hidden="1" x14ac:dyDescent="0.35">
      <c r="C25" s="238">
        <f t="shared" si="0"/>
        <v>0</v>
      </c>
      <c r="D25" s="239">
        <f t="shared" si="1"/>
        <v>0</v>
      </c>
      <c r="E25" s="240">
        <f t="shared" si="2"/>
        <v>0</v>
      </c>
    </row>
    <row r="26" spans="1:15" hidden="1" x14ac:dyDescent="0.35">
      <c r="C26" s="245"/>
      <c r="D26" s="246"/>
      <c r="E26" s="247"/>
    </row>
    <row r="27" spans="1:15" hidden="1" x14ac:dyDescent="0.35">
      <c r="C27" s="245"/>
      <c r="D27" s="246"/>
      <c r="E27" s="247"/>
    </row>
    <row r="28" spans="1:15" s="248" customFormat="1" ht="28.5" hidden="1" x14ac:dyDescent="0.45">
      <c r="A28" s="248" t="s">
        <v>144</v>
      </c>
      <c r="C28" s="249"/>
      <c r="D28" s="250"/>
      <c r="E28" s="251"/>
    </row>
    <row r="29" spans="1:15" s="252" customFormat="1" hidden="1" x14ac:dyDescent="0.35">
      <c r="B29" s="252" t="s">
        <v>145</v>
      </c>
    </row>
    <row r="30" spans="1:15" s="253" customFormat="1" hidden="1" x14ac:dyDescent="0.35">
      <c r="B30" s="254" t="s">
        <v>146</v>
      </c>
      <c r="C30" s="255" t="s">
        <v>147</v>
      </c>
      <c r="D30" s="255" t="s">
        <v>148</v>
      </c>
      <c r="E30" s="255" t="s">
        <v>149</v>
      </c>
      <c r="F30" s="255" t="s">
        <v>150</v>
      </c>
      <c r="G30" s="255" t="s">
        <v>151</v>
      </c>
      <c r="H30" s="255" t="s">
        <v>152</v>
      </c>
      <c r="I30" s="255" t="s">
        <v>153</v>
      </c>
      <c r="J30" s="255" t="s">
        <v>154</v>
      </c>
      <c r="K30" s="255" t="s">
        <v>155</v>
      </c>
      <c r="L30" s="255" t="s">
        <v>156</v>
      </c>
      <c r="M30" s="255" t="s">
        <v>157</v>
      </c>
      <c r="N30" s="255" t="s">
        <v>158</v>
      </c>
      <c r="O30" s="256" t="s">
        <v>159</v>
      </c>
    </row>
    <row r="31" spans="1:15" s="253" customFormat="1" hidden="1" x14ac:dyDescent="0.35">
      <c r="B31" s="257" t="s">
        <v>160</v>
      </c>
      <c r="C31" s="258">
        <v>0.11185098020578049</v>
      </c>
      <c r="D31" s="258">
        <v>9.585815207634453E-2</v>
      </c>
      <c r="E31" s="258">
        <v>0.10523399012984123</v>
      </c>
      <c r="F31" s="258">
        <v>9.2224316744202464E-2</v>
      </c>
      <c r="G31" s="258">
        <v>7.7466102086829719E-2</v>
      </c>
      <c r="H31" s="258">
        <v>8.1967024199785313E-2</v>
      </c>
      <c r="I31" s="258">
        <v>6.5319029441924692E-2</v>
      </c>
      <c r="J31" s="258">
        <v>7.2052851812213506E-2</v>
      </c>
      <c r="K31" s="258">
        <v>7.6718666852730114E-2</v>
      </c>
      <c r="L31" s="258">
        <v>6.7056060353921046E-2</v>
      </c>
      <c r="M31" s="258">
        <v>8.6287175874949135E-2</v>
      </c>
      <c r="N31" s="258">
        <v>6.7965650221477741E-2</v>
      </c>
      <c r="O31" s="258">
        <f t="shared" ref="O31:O38" si="3">SUM(C31:N31)</f>
        <v>1</v>
      </c>
    </row>
    <row r="32" spans="1:15" s="253" customFormat="1" hidden="1" x14ac:dyDescent="0.35">
      <c r="B32" s="257" t="s">
        <v>161</v>
      </c>
      <c r="C32" s="258">
        <v>9.905736271573154E-2</v>
      </c>
      <c r="D32" s="258">
        <v>8.3851569777728147E-2</v>
      </c>
      <c r="E32" s="258">
        <v>0.10102058227515469</v>
      </c>
      <c r="F32" s="258">
        <v>9.1173133840113246E-2</v>
      </c>
      <c r="G32" s="258">
        <v>9.2694400717322073E-2</v>
      </c>
      <c r="H32" s="258">
        <v>7.282174877395188E-2</v>
      </c>
      <c r="I32" s="258">
        <v>8.7075635900740453E-2</v>
      </c>
      <c r="J32" s="258">
        <v>7.1625554530768479E-2</v>
      </c>
      <c r="K32" s="258">
        <v>7.3278311462189827E-2</v>
      </c>
      <c r="L32" s="258">
        <v>7.2115598482810531E-2</v>
      </c>
      <c r="M32" s="258">
        <v>7.8913816910673507E-2</v>
      </c>
      <c r="N32" s="258">
        <v>7.6372284612815616E-2</v>
      </c>
      <c r="O32" s="258">
        <f t="shared" si="3"/>
        <v>1</v>
      </c>
    </row>
    <row r="33" spans="2:15" s="253" customFormat="1" hidden="1" x14ac:dyDescent="0.35">
      <c r="B33" s="257" t="s">
        <v>162</v>
      </c>
      <c r="C33" s="258">
        <v>1.7216758995756577E-2</v>
      </c>
      <c r="D33" s="258">
        <v>1.2153006349945818E-2</v>
      </c>
      <c r="E33" s="258">
        <v>8.1308788761619899E-2</v>
      </c>
      <c r="F33" s="258">
        <v>2.3293262170729485E-2</v>
      </c>
      <c r="G33" s="258">
        <v>4.8612025399783272E-2</v>
      </c>
      <c r="H33" s="258">
        <v>5.7726780162242634E-2</v>
      </c>
      <c r="I33" s="258">
        <v>3.595264378525638E-2</v>
      </c>
      <c r="J33" s="258">
        <v>1.1646631085364742E-2</v>
      </c>
      <c r="K33" s="258">
        <v>9.7224050799566544E-2</v>
      </c>
      <c r="L33" s="258">
        <v>0.41282659797967525</v>
      </c>
      <c r="M33" s="258">
        <v>0.18380994498514069</v>
      </c>
      <c r="N33" s="258">
        <v>1.8229509524918728E-2</v>
      </c>
      <c r="O33" s="258">
        <f t="shared" si="3"/>
        <v>1</v>
      </c>
    </row>
    <row r="34" spans="2:15" s="253" customFormat="1" hidden="1" x14ac:dyDescent="0.35">
      <c r="B34" s="257" t="s">
        <v>163</v>
      </c>
      <c r="C34" s="258">
        <v>6.0910889751768067E-2</v>
      </c>
      <c r="D34" s="258">
        <v>3.5810113456741448E-2</v>
      </c>
      <c r="E34" s="258">
        <v>8.1557583464145447E-2</v>
      </c>
      <c r="F34" s="258">
        <v>0.10826823450739512</v>
      </c>
      <c r="G34" s="258">
        <v>0.12215650179825835</v>
      </c>
      <c r="H34" s="258">
        <v>0.10053691747460965</v>
      </c>
      <c r="I34" s="258">
        <v>0.10671478243410573</v>
      </c>
      <c r="J34" s="258">
        <v>5.7833241807006761E-2</v>
      </c>
      <c r="K34" s="258">
        <v>9.8450184051167913E-2</v>
      </c>
      <c r="L34" s="258">
        <v>8.3889964496418751E-2</v>
      </c>
      <c r="M34" s="258">
        <v>7.8217065063173122E-2</v>
      </c>
      <c r="N34" s="258">
        <v>6.5654521695209703E-2</v>
      </c>
      <c r="O34" s="258">
        <f t="shared" si="3"/>
        <v>1</v>
      </c>
    </row>
    <row r="35" spans="2:15" s="253" customFormat="1" hidden="1" x14ac:dyDescent="0.35">
      <c r="B35" s="257" t="s">
        <v>164</v>
      </c>
      <c r="C35" s="258">
        <v>0.08</v>
      </c>
      <c r="D35" s="258">
        <v>0.09</v>
      </c>
      <c r="E35" s="258">
        <v>0.08</v>
      </c>
      <c r="F35" s="258">
        <v>7.0000000000000007E-2</v>
      </c>
      <c r="G35" s="258">
        <v>0.08</v>
      </c>
      <c r="H35" s="258">
        <v>0.1</v>
      </c>
      <c r="I35" s="258">
        <v>7.0000000000000007E-2</v>
      </c>
      <c r="J35" s="258">
        <v>0.09</v>
      </c>
      <c r="K35" s="258">
        <v>7.0000000000000007E-2</v>
      </c>
      <c r="L35" s="258">
        <v>0.08</v>
      </c>
      <c r="M35" s="258">
        <v>0.08</v>
      </c>
      <c r="N35" s="258">
        <v>0.11</v>
      </c>
      <c r="O35" s="258">
        <f t="shared" si="3"/>
        <v>0.99999999999999989</v>
      </c>
    </row>
    <row r="36" spans="2:15" s="253" customFormat="1" hidden="1" x14ac:dyDescent="0.35">
      <c r="B36" s="257" t="s">
        <v>165</v>
      </c>
      <c r="C36" s="258">
        <v>5.652336448598131E-2</v>
      </c>
      <c r="D36" s="258">
        <v>9.2261682242990653E-2</v>
      </c>
      <c r="E36" s="258">
        <v>8.8971962616822428E-2</v>
      </c>
      <c r="F36" s="258">
        <v>9.4280373831775705E-2</v>
      </c>
      <c r="G36" s="258">
        <v>0.10676635514018691</v>
      </c>
      <c r="H36" s="258">
        <v>7.6785046728971962E-2</v>
      </c>
      <c r="I36" s="258">
        <v>6.504672897196262E-2</v>
      </c>
      <c r="J36" s="258">
        <v>7.4242990654205601E-2</v>
      </c>
      <c r="K36" s="258">
        <v>7.3495327102803737E-2</v>
      </c>
      <c r="L36" s="258">
        <v>8.1869158878504669E-2</v>
      </c>
      <c r="M36" s="258">
        <v>0.10063551401869159</v>
      </c>
      <c r="N36" s="258">
        <v>8.9121495327102798E-2</v>
      </c>
      <c r="O36" s="258">
        <f t="shared" si="3"/>
        <v>0.99999999999999989</v>
      </c>
    </row>
    <row r="37" spans="2:15" s="253" customFormat="1" hidden="1" x14ac:dyDescent="0.35">
      <c r="B37" s="257" t="s">
        <v>166</v>
      </c>
      <c r="C37" s="258">
        <v>0.10795554153080186</v>
      </c>
      <c r="D37" s="258">
        <v>0.11080724144782207</v>
      </c>
      <c r="E37" s="258">
        <v>0.16396105793392005</v>
      </c>
      <c r="F37" s="258">
        <v>5.062156929202264E-2</v>
      </c>
      <c r="G37" s="258">
        <v>6.6422791783052645E-2</v>
      </c>
      <c r="H37" s="258">
        <v>8.5001694657737575E-2</v>
      </c>
      <c r="I37" s="258">
        <v>6.1171300679031822E-2</v>
      </c>
      <c r="J37" s="258">
        <v>6.7268172769382406E-2</v>
      </c>
      <c r="K37" s="258">
        <v>5.9472747176544376E-2</v>
      </c>
      <c r="L37" s="258">
        <v>0.1046792032381598</v>
      </c>
      <c r="M37" s="258">
        <v>6.6500707081331878E-2</v>
      </c>
      <c r="N37" s="258">
        <v>5.6137972410192881E-2</v>
      </c>
      <c r="O37" s="258">
        <f t="shared" si="3"/>
        <v>1.0000000000000002</v>
      </c>
    </row>
    <row r="38" spans="2:15" s="253" customFormat="1" hidden="1" x14ac:dyDescent="0.35">
      <c r="B38" s="257" t="s">
        <v>167</v>
      </c>
      <c r="C38" s="258">
        <v>6.5531955091427244E-2</v>
      </c>
      <c r="D38" s="258">
        <v>5.8612946083313383E-2</v>
      </c>
      <c r="E38" s="258">
        <v>6.9440897564921153E-2</v>
      </c>
      <c r="F38" s="258">
        <v>7.2793034238894647E-2</v>
      </c>
      <c r="G38" s="258">
        <v>7.7741372653441929E-2</v>
      </c>
      <c r="H38" s="258">
        <v>7.9926402177947012E-2</v>
      </c>
      <c r="I38" s="258">
        <v>9.6504371872058417E-2</v>
      </c>
      <c r="J38" s="258">
        <v>0.10425840121483874</v>
      </c>
      <c r="K38" s="258">
        <v>7.4789228237682803E-2</v>
      </c>
      <c r="L38" s="258">
        <v>9.1443485600537708E-2</v>
      </c>
      <c r="M38" s="258">
        <v>0.10395325053986476</v>
      </c>
      <c r="N38" s="258">
        <v>0.10500465472507219</v>
      </c>
      <c r="O38" s="258">
        <f t="shared" si="3"/>
        <v>1.0000000000000002</v>
      </c>
    </row>
    <row r="39" spans="2:15" s="253" customFormat="1" hidden="1" x14ac:dyDescent="0.35"/>
    <row r="40" spans="2:15" s="253" customFormat="1" hidden="1" x14ac:dyDescent="0.35">
      <c r="C40" s="259" t="s">
        <v>147</v>
      </c>
      <c r="D40" s="259" t="s">
        <v>148</v>
      </c>
      <c r="E40" s="259" t="s">
        <v>149</v>
      </c>
      <c r="F40" s="259" t="s">
        <v>150</v>
      </c>
      <c r="G40" s="259" t="s">
        <v>151</v>
      </c>
      <c r="H40" s="259" t="s">
        <v>152</v>
      </c>
      <c r="I40" s="259" t="s">
        <v>153</v>
      </c>
      <c r="J40" s="259" t="s">
        <v>154</v>
      </c>
      <c r="K40" s="259" t="s">
        <v>155</v>
      </c>
      <c r="L40" s="259" t="s">
        <v>156</v>
      </c>
      <c r="M40" s="259" t="s">
        <v>157</v>
      </c>
      <c r="N40" s="259" t="s">
        <v>158</v>
      </c>
      <c r="O40" s="259" t="s">
        <v>142</v>
      </c>
    </row>
    <row r="41" spans="2:15" s="253" customFormat="1" hidden="1" x14ac:dyDescent="0.35">
      <c r="B41" s="257" t="s">
        <v>160</v>
      </c>
      <c r="C41" s="260">
        <f>C31*$D$6</f>
        <v>0</v>
      </c>
      <c r="D41" s="260">
        <f t="shared" ref="D41:N41" si="4">D31*$D$6</f>
        <v>0</v>
      </c>
      <c r="E41" s="260">
        <f t="shared" si="4"/>
        <v>0</v>
      </c>
      <c r="F41" s="260">
        <f t="shared" si="4"/>
        <v>0</v>
      </c>
      <c r="G41" s="260">
        <f t="shared" si="4"/>
        <v>0</v>
      </c>
      <c r="H41" s="260">
        <f t="shared" si="4"/>
        <v>0</v>
      </c>
      <c r="I41" s="260">
        <f t="shared" si="4"/>
        <v>0</v>
      </c>
      <c r="J41" s="260">
        <f t="shared" si="4"/>
        <v>0</v>
      </c>
      <c r="K41" s="260">
        <f t="shared" si="4"/>
        <v>0</v>
      </c>
      <c r="L41" s="260">
        <f t="shared" si="4"/>
        <v>0</v>
      </c>
      <c r="M41" s="260">
        <f t="shared" si="4"/>
        <v>0</v>
      </c>
      <c r="N41" s="260">
        <f t="shared" si="4"/>
        <v>0</v>
      </c>
      <c r="O41" s="260">
        <f>SUM(C41:N41)</f>
        <v>0</v>
      </c>
    </row>
    <row r="42" spans="2:15" s="253" customFormat="1" hidden="1" x14ac:dyDescent="0.35">
      <c r="B42" s="257" t="s">
        <v>161</v>
      </c>
      <c r="C42" s="260">
        <f>C32*$D$7</f>
        <v>0</v>
      </c>
      <c r="D42" s="260">
        <f t="shared" ref="D42:N42" si="5">D32*$D$7</f>
        <v>0</v>
      </c>
      <c r="E42" s="260">
        <f t="shared" si="5"/>
        <v>0</v>
      </c>
      <c r="F42" s="260">
        <f t="shared" si="5"/>
        <v>0</v>
      </c>
      <c r="G42" s="260">
        <f t="shared" si="5"/>
        <v>0</v>
      </c>
      <c r="H42" s="260">
        <f t="shared" si="5"/>
        <v>0</v>
      </c>
      <c r="I42" s="260">
        <f t="shared" si="5"/>
        <v>0</v>
      </c>
      <c r="J42" s="260">
        <f t="shared" si="5"/>
        <v>0</v>
      </c>
      <c r="K42" s="260">
        <f t="shared" si="5"/>
        <v>0</v>
      </c>
      <c r="L42" s="260">
        <f t="shared" si="5"/>
        <v>0</v>
      </c>
      <c r="M42" s="260">
        <f t="shared" si="5"/>
        <v>0</v>
      </c>
      <c r="N42" s="260">
        <f t="shared" si="5"/>
        <v>0</v>
      </c>
      <c r="O42" s="260">
        <f t="shared" ref="O42:O48" si="6">SUM(C42:N42)</f>
        <v>0</v>
      </c>
    </row>
    <row r="43" spans="2:15" s="253" customFormat="1" hidden="1" x14ac:dyDescent="0.35">
      <c r="B43" s="257" t="s">
        <v>162</v>
      </c>
      <c r="C43" s="260">
        <f>C33*$D$8</f>
        <v>0</v>
      </c>
      <c r="D43" s="260">
        <f t="shared" ref="D43:N43" si="7">D33*$D$8</f>
        <v>0</v>
      </c>
      <c r="E43" s="260">
        <f t="shared" si="7"/>
        <v>0</v>
      </c>
      <c r="F43" s="260">
        <f t="shared" si="7"/>
        <v>0</v>
      </c>
      <c r="G43" s="260">
        <f t="shared" si="7"/>
        <v>0</v>
      </c>
      <c r="H43" s="260">
        <f t="shared" si="7"/>
        <v>0</v>
      </c>
      <c r="I43" s="260">
        <f t="shared" si="7"/>
        <v>0</v>
      </c>
      <c r="J43" s="260">
        <f t="shared" si="7"/>
        <v>0</v>
      </c>
      <c r="K43" s="260">
        <f t="shared" si="7"/>
        <v>0</v>
      </c>
      <c r="L43" s="260">
        <f t="shared" si="7"/>
        <v>0</v>
      </c>
      <c r="M43" s="260">
        <f t="shared" si="7"/>
        <v>0</v>
      </c>
      <c r="N43" s="260">
        <f t="shared" si="7"/>
        <v>0</v>
      </c>
      <c r="O43" s="260">
        <f t="shared" si="6"/>
        <v>0</v>
      </c>
    </row>
    <row r="44" spans="2:15" s="253" customFormat="1" hidden="1" x14ac:dyDescent="0.35">
      <c r="B44" s="257" t="s">
        <v>163</v>
      </c>
      <c r="C44" s="260">
        <f>C34*$D$9</f>
        <v>0</v>
      </c>
      <c r="D44" s="260">
        <f t="shared" ref="D44:N44" si="8">D34*$D$9</f>
        <v>0</v>
      </c>
      <c r="E44" s="260">
        <f t="shared" si="8"/>
        <v>0</v>
      </c>
      <c r="F44" s="260">
        <f t="shared" si="8"/>
        <v>0</v>
      </c>
      <c r="G44" s="260">
        <f t="shared" si="8"/>
        <v>0</v>
      </c>
      <c r="H44" s="260">
        <f t="shared" si="8"/>
        <v>0</v>
      </c>
      <c r="I44" s="260">
        <f t="shared" si="8"/>
        <v>0</v>
      </c>
      <c r="J44" s="260">
        <f t="shared" si="8"/>
        <v>0</v>
      </c>
      <c r="K44" s="260">
        <f t="shared" si="8"/>
        <v>0</v>
      </c>
      <c r="L44" s="260">
        <f t="shared" si="8"/>
        <v>0</v>
      </c>
      <c r="M44" s="260">
        <f t="shared" si="8"/>
        <v>0</v>
      </c>
      <c r="N44" s="260">
        <f t="shared" si="8"/>
        <v>0</v>
      </c>
      <c r="O44" s="260">
        <f t="shared" si="6"/>
        <v>0</v>
      </c>
    </row>
    <row r="45" spans="2:15" s="253" customFormat="1" hidden="1" x14ac:dyDescent="0.35">
      <c r="B45" s="257" t="s">
        <v>164</v>
      </c>
      <c r="C45" s="260">
        <f>C35*$D$10</f>
        <v>0</v>
      </c>
      <c r="D45" s="260">
        <f t="shared" ref="D45:N45" si="9">D35*$D$10</f>
        <v>0</v>
      </c>
      <c r="E45" s="260">
        <f t="shared" si="9"/>
        <v>0</v>
      </c>
      <c r="F45" s="260">
        <f t="shared" si="9"/>
        <v>0</v>
      </c>
      <c r="G45" s="260">
        <f t="shared" si="9"/>
        <v>0</v>
      </c>
      <c r="H45" s="260">
        <f t="shared" si="9"/>
        <v>0</v>
      </c>
      <c r="I45" s="260">
        <f t="shared" si="9"/>
        <v>0</v>
      </c>
      <c r="J45" s="260">
        <f t="shared" si="9"/>
        <v>0</v>
      </c>
      <c r="K45" s="260">
        <f t="shared" si="9"/>
        <v>0</v>
      </c>
      <c r="L45" s="260">
        <f t="shared" si="9"/>
        <v>0</v>
      </c>
      <c r="M45" s="260">
        <f t="shared" si="9"/>
        <v>0</v>
      </c>
      <c r="N45" s="260">
        <f t="shared" si="9"/>
        <v>0</v>
      </c>
      <c r="O45" s="260">
        <f t="shared" si="6"/>
        <v>0</v>
      </c>
    </row>
    <row r="46" spans="2:15" s="253" customFormat="1" hidden="1" x14ac:dyDescent="0.35">
      <c r="B46" s="257" t="s">
        <v>165</v>
      </c>
      <c r="C46" s="260">
        <f>C36*$D$11</f>
        <v>0</v>
      </c>
      <c r="D46" s="260">
        <f t="shared" ref="D46:N46" si="10">D36*$D$11</f>
        <v>0</v>
      </c>
      <c r="E46" s="260">
        <f t="shared" si="10"/>
        <v>0</v>
      </c>
      <c r="F46" s="260">
        <f t="shared" si="10"/>
        <v>0</v>
      </c>
      <c r="G46" s="260">
        <f t="shared" si="10"/>
        <v>0</v>
      </c>
      <c r="H46" s="260">
        <f t="shared" si="10"/>
        <v>0</v>
      </c>
      <c r="I46" s="260">
        <f t="shared" si="10"/>
        <v>0</v>
      </c>
      <c r="J46" s="260">
        <f t="shared" si="10"/>
        <v>0</v>
      </c>
      <c r="K46" s="260">
        <f t="shared" si="10"/>
        <v>0</v>
      </c>
      <c r="L46" s="260">
        <f t="shared" si="10"/>
        <v>0</v>
      </c>
      <c r="M46" s="260">
        <f t="shared" si="10"/>
        <v>0</v>
      </c>
      <c r="N46" s="260">
        <f t="shared" si="10"/>
        <v>0</v>
      </c>
      <c r="O46" s="260">
        <f t="shared" si="6"/>
        <v>0</v>
      </c>
    </row>
    <row r="47" spans="2:15" s="253" customFormat="1" hidden="1" x14ac:dyDescent="0.35">
      <c r="B47" s="257" t="s">
        <v>166</v>
      </c>
      <c r="C47" s="260">
        <f>C37*$D$12</f>
        <v>0</v>
      </c>
      <c r="D47" s="260">
        <f t="shared" ref="D47:N47" si="11">D37*$D$12</f>
        <v>0</v>
      </c>
      <c r="E47" s="260">
        <f t="shared" si="11"/>
        <v>0</v>
      </c>
      <c r="F47" s="260">
        <f t="shared" si="11"/>
        <v>0</v>
      </c>
      <c r="G47" s="260">
        <f t="shared" si="11"/>
        <v>0</v>
      </c>
      <c r="H47" s="260">
        <f t="shared" si="11"/>
        <v>0</v>
      </c>
      <c r="I47" s="260">
        <f t="shared" si="11"/>
        <v>0</v>
      </c>
      <c r="J47" s="260">
        <f t="shared" si="11"/>
        <v>0</v>
      </c>
      <c r="K47" s="260">
        <f t="shared" si="11"/>
        <v>0</v>
      </c>
      <c r="L47" s="260">
        <f t="shared" si="11"/>
        <v>0</v>
      </c>
      <c r="M47" s="260">
        <f t="shared" si="11"/>
        <v>0</v>
      </c>
      <c r="N47" s="260">
        <f t="shared" si="11"/>
        <v>0</v>
      </c>
      <c r="O47" s="260">
        <f t="shared" si="6"/>
        <v>0</v>
      </c>
    </row>
    <row r="48" spans="2:15" s="253" customFormat="1" hidden="1" x14ac:dyDescent="0.35">
      <c r="B48" s="257" t="s">
        <v>167</v>
      </c>
      <c r="C48" s="260">
        <f>C38*$D$15</f>
        <v>0</v>
      </c>
      <c r="D48" s="260">
        <f t="shared" ref="D48:N48" si="12">D38*$D$15</f>
        <v>0</v>
      </c>
      <c r="E48" s="260">
        <f t="shared" si="12"/>
        <v>0</v>
      </c>
      <c r="F48" s="260">
        <f t="shared" si="12"/>
        <v>0</v>
      </c>
      <c r="G48" s="260">
        <f t="shared" si="12"/>
        <v>0</v>
      </c>
      <c r="H48" s="260">
        <f t="shared" si="12"/>
        <v>0</v>
      </c>
      <c r="I48" s="260">
        <f t="shared" si="12"/>
        <v>0</v>
      </c>
      <c r="J48" s="260">
        <f t="shared" si="12"/>
        <v>0</v>
      </c>
      <c r="K48" s="260">
        <f t="shared" si="12"/>
        <v>0</v>
      </c>
      <c r="L48" s="260">
        <f t="shared" si="12"/>
        <v>0</v>
      </c>
      <c r="M48" s="260">
        <f t="shared" si="12"/>
        <v>0</v>
      </c>
      <c r="N48" s="260">
        <f t="shared" si="12"/>
        <v>0</v>
      </c>
      <c r="O48" s="260">
        <f t="shared" si="6"/>
        <v>0</v>
      </c>
    </row>
    <row r="49" spans="2:15" s="253" customFormat="1" hidden="1" x14ac:dyDescent="0.35">
      <c r="B49" s="254" t="s">
        <v>142</v>
      </c>
      <c r="O49" s="261">
        <f>SUM(O41:O48)</f>
        <v>0</v>
      </c>
    </row>
    <row r="50" spans="2:15" s="253" customFormat="1" hidden="1" x14ac:dyDescent="0.35"/>
    <row r="51" spans="2:15" s="253" customFormat="1" hidden="1" x14ac:dyDescent="0.35">
      <c r="O51" s="262"/>
    </row>
    <row r="52" spans="2:15" s="253" customFormat="1" hidden="1" x14ac:dyDescent="0.35">
      <c r="B52" s="254" t="s">
        <v>168</v>
      </c>
      <c r="C52" s="259" t="s">
        <v>169</v>
      </c>
      <c r="D52" s="259" t="s">
        <v>170</v>
      </c>
      <c r="E52" s="259" t="s">
        <v>171</v>
      </c>
      <c r="F52" s="259" t="s">
        <v>172</v>
      </c>
      <c r="G52" s="259" t="s">
        <v>142</v>
      </c>
      <c r="O52" s="262"/>
    </row>
    <row r="53" spans="2:15" s="253" customFormat="1" hidden="1" x14ac:dyDescent="0.35">
      <c r="B53" s="257" t="s">
        <v>160</v>
      </c>
      <c r="C53" s="263">
        <f>SUM(Volumes!C41:E41)</f>
        <v>0</v>
      </c>
      <c r="D53" s="263">
        <f>SUM(Volumes!F41:H41)</f>
        <v>0</v>
      </c>
      <c r="E53" s="263">
        <f>SUM(Volumes!I41:K41)</f>
        <v>0</v>
      </c>
      <c r="F53" s="263">
        <f>SUM(Volumes!L41:N41)</f>
        <v>0</v>
      </c>
      <c r="G53" s="260">
        <f>SUM(C53:F53)</f>
        <v>0</v>
      </c>
      <c r="O53" s="262"/>
    </row>
    <row r="54" spans="2:15" s="253" customFormat="1" hidden="1" x14ac:dyDescent="0.35">
      <c r="B54" s="257" t="s">
        <v>161</v>
      </c>
      <c r="C54" s="263">
        <f>SUM(Volumes!C42:E42)</f>
        <v>0</v>
      </c>
      <c r="D54" s="263">
        <f>SUM(Volumes!F42:H42)</f>
        <v>0</v>
      </c>
      <c r="E54" s="263">
        <f>SUM(Volumes!I42:K42)</f>
        <v>0</v>
      </c>
      <c r="F54" s="263">
        <f>SUM(Volumes!L42:N42)</f>
        <v>0</v>
      </c>
      <c r="G54" s="260">
        <f t="shared" ref="G54:G60" si="13">SUM(C54:F54)</f>
        <v>0</v>
      </c>
      <c r="O54" s="262"/>
    </row>
    <row r="55" spans="2:15" s="253" customFormat="1" hidden="1" x14ac:dyDescent="0.35">
      <c r="B55" s="257" t="s">
        <v>162</v>
      </c>
      <c r="C55" s="263">
        <f>SUM(Volumes!C43:E43)</f>
        <v>0</v>
      </c>
      <c r="D55" s="263">
        <f>SUM(Volumes!F43:H43)</f>
        <v>0</v>
      </c>
      <c r="E55" s="263">
        <f>SUM(Volumes!I43:K43)</f>
        <v>0</v>
      </c>
      <c r="F55" s="263">
        <f>SUM(Volumes!L43:N43)</f>
        <v>0</v>
      </c>
      <c r="G55" s="260">
        <f t="shared" si="13"/>
        <v>0</v>
      </c>
      <c r="O55" s="262"/>
    </row>
    <row r="56" spans="2:15" s="253" customFormat="1" hidden="1" x14ac:dyDescent="0.35">
      <c r="B56" s="257" t="s">
        <v>163</v>
      </c>
      <c r="C56" s="263">
        <f>SUM(Volumes!C44:E44)</f>
        <v>0</v>
      </c>
      <c r="D56" s="263">
        <f>SUM(Volumes!F44:H44)</f>
        <v>0</v>
      </c>
      <c r="E56" s="263">
        <f>SUM(Volumes!I44:K44)</f>
        <v>0</v>
      </c>
      <c r="F56" s="263">
        <f>SUM(Volumes!L44:N44)</f>
        <v>0</v>
      </c>
      <c r="G56" s="260">
        <f t="shared" si="13"/>
        <v>0</v>
      </c>
      <c r="O56" s="262"/>
    </row>
    <row r="57" spans="2:15" s="253" customFormat="1" hidden="1" x14ac:dyDescent="0.35">
      <c r="B57" s="257" t="s">
        <v>164</v>
      </c>
      <c r="C57" s="263">
        <f>SUM(Volumes!C45:E45)</f>
        <v>0</v>
      </c>
      <c r="D57" s="263">
        <f>SUM(Volumes!F45:H45)</f>
        <v>0</v>
      </c>
      <c r="E57" s="263">
        <f>SUM(Volumes!I45:K45)</f>
        <v>0</v>
      </c>
      <c r="F57" s="263">
        <f>SUM(Volumes!L45:N45)</f>
        <v>0</v>
      </c>
      <c r="G57" s="260">
        <f t="shared" si="13"/>
        <v>0</v>
      </c>
      <c r="O57" s="262"/>
    </row>
    <row r="58" spans="2:15" s="253" customFormat="1" hidden="1" x14ac:dyDescent="0.35">
      <c r="B58" s="257" t="s">
        <v>165</v>
      </c>
      <c r="C58" s="263">
        <f>SUM(Volumes!C46:E46)</f>
        <v>0</v>
      </c>
      <c r="D58" s="263">
        <f>SUM(Volumes!F46:H46)</f>
        <v>0</v>
      </c>
      <c r="E58" s="263">
        <f>SUM(Volumes!I46:K46)</f>
        <v>0</v>
      </c>
      <c r="F58" s="263">
        <f>SUM(Volumes!L46:N46)</f>
        <v>0</v>
      </c>
      <c r="G58" s="260">
        <f t="shared" si="13"/>
        <v>0</v>
      </c>
      <c r="O58" s="262"/>
    </row>
    <row r="59" spans="2:15" s="253" customFormat="1" hidden="1" x14ac:dyDescent="0.35">
      <c r="B59" s="257" t="s">
        <v>166</v>
      </c>
      <c r="C59" s="263">
        <f>SUM(Volumes!C47:E47)</f>
        <v>0</v>
      </c>
      <c r="D59" s="263">
        <f>SUM(Volumes!F47:H47)</f>
        <v>0</v>
      </c>
      <c r="E59" s="263">
        <f>SUM(Volumes!I47:K47)</f>
        <v>0</v>
      </c>
      <c r="F59" s="263">
        <f>SUM(Volumes!L47:N47)</f>
        <v>0</v>
      </c>
      <c r="G59" s="260">
        <f t="shared" si="13"/>
        <v>0</v>
      </c>
      <c r="O59" s="264"/>
    </row>
    <row r="60" spans="2:15" s="253" customFormat="1" hidden="1" x14ac:dyDescent="0.35">
      <c r="B60" s="257" t="s">
        <v>167</v>
      </c>
      <c r="C60" s="263">
        <f>SUM(Volumes!C48:E48)</f>
        <v>0</v>
      </c>
      <c r="D60" s="263">
        <f>SUM(Volumes!F48:H48)</f>
        <v>0</v>
      </c>
      <c r="E60" s="263">
        <f>SUM(Volumes!I48:K48)</f>
        <v>0</v>
      </c>
      <c r="F60" s="263">
        <f>SUM(Volumes!L48:N48)</f>
        <v>0</v>
      </c>
      <c r="G60" s="260">
        <f t="shared" si="13"/>
        <v>0</v>
      </c>
    </row>
    <row r="61" spans="2:15" s="253" customFormat="1" hidden="1" x14ac:dyDescent="0.35">
      <c r="B61" s="254" t="s">
        <v>142</v>
      </c>
      <c r="C61" s="265">
        <f>SUM(C53:C60)</f>
        <v>0</v>
      </c>
      <c r="D61" s="265">
        <f>SUM(D53:D60)</f>
        <v>0</v>
      </c>
      <c r="E61" s="265">
        <f>SUM(E53:E60)</f>
        <v>0</v>
      </c>
      <c r="F61" s="265">
        <f>SUM(F53:F60)</f>
        <v>0</v>
      </c>
      <c r="G61" s="265">
        <f>SUM(G53:G60)</f>
        <v>0</v>
      </c>
      <c r="H61" s="266"/>
      <c r="K61" s="266"/>
      <c r="N61" s="266"/>
    </row>
    <row r="62" spans="2:15" s="253" customFormat="1" hidden="1" x14ac:dyDescent="0.35">
      <c r="B62" s="257"/>
      <c r="E62" s="266"/>
      <c r="H62" s="266"/>
      <c r="K62" s="266"/>
      <c r="N62" s="266"/>
    </row>
    <row r="63" spans="2:15" s="253" customFormat="1" hidden="1" x14ac:dyDescent="0.35">
      <c r="B63" s="257"/>
      <c r="E63" s="266"/>
      <c r="H63" s="266"/>
      <c r="K63" s="266"/>
      <c r="N63" s="266"/>
    </row>
    <row r="64" spans="2:15" s="253" customFormat="1" x14ac:dyDescent="0.35">
      <c r="B64" s="257"/>
      <c r="E64" s="266"/>
      <c r="H64" s="266"/>
      <c r="K64" s="266"/>
      <c r="N64" s="266"/>
    </row>
    <row r="65" spans="2:14" s="253" customFormat="1" x14ac:dyDescent="0.35">
      <c r="B65" s="257"/>
      <c r="E65" s="266"/>
      <c r="H65" s="266"/>
      <c r="K65" s="266"/>
      <c r="N65" s="266"/>
    </row>
    <row r="66" spans="2:14" s="253" customFormat="1" x14ac:dyDescent="0.35">
      <c r="B66" s="257"/>
      <c r="E66" s="266"/>
      <c r="H66" s="266"/>
      <c r="K66" s="266"/>
      <c r="N66" s="266"/>
    </row>
    <row r="67" spans="2:14" s="253" customFormat="1" x14ac:dyDescent="0.35">
      <c r="B67" s="257"/>
      <c r="E67" s="266"/>
      <c r="H67" s="266"/>
      <c r="K67" s="266"/>
      <c r="N67" s="266"/>
    </row>
    <row r="68" spans="2:14" s="253" customFormat="1" x14ac:dyDescent="0.35">
      <c r="B68" s="257"/>
      <c r="E68" s="266"/>
      <c r="H68" s="266"/>
      <c r="K68" s="266"/>
      <c r="N68" s="266"/>
    </row>
    <row r="69" spans="2:14" s="253" customFormat="1" x14ac:dyDescent="0.35">
      <c r="B69" s="254"/>
    </row>
    <row r="70" spans="2:14" s="253" customFormat="1" x14ac:dyDescent="0.35"/>
    <row r="71" spans="2:14" s="253" customFormat="1" x14ac:dyDescent="0.35"/>
    <row r="72" spans="2:14" s="253" customFormat="1" x14ac:dyDescent="0.35"/>
    <row r="73" spans="2:14" s="253" customFormat="1" x14ac:dyDescent="0.35"/>
    <row r="74" spans="2:14" s="253" customFormat="1" x14ac:dyDescent="0.35"/>
  </sheetData>
  <mergeCells count="1">
    <mergeCell ref="B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BB8B-ACFF-4250-A38C-37F246213515}">
  <sheetPr>
    <tabColor rgb="FF00B050"/>
  </sheetPr>
  <dimension ref="A1:Z32"/>
  <sheetViews>
    <sheetView showGridLines="0" topLeftCell="A13" workbookViewId="0">
      <selection activeCell="A27" sqref="A27:XFD193"/>
    </sheetView>
  </sheetViews>
  <sheetFormatPr defaultColWidth="9.140625" defaultRowHeight="15" x14ac:dyDescent="0.25"/>
  <cols>
    <col min="1" max="1" width="36" style="381" customWidth="1"/>
    <col min="2" max="4" width="20" style="381" customWidth="1"/>
    <col min="5" max="6" width="20" customWidth="1"/>
    <col min="7" max="8" width="20" style="381" customWidth="1"/>
    <col min="9" max="9" width="11.7109375" style="381" customWidth="1"/>
    <col min="10" max="14" width="11" style="381" customWidth="1"/>
    <col min="15" max="15" width="11.42578125" style="381" customWidth="1"/>
    <col min="16" max="16" width="10.42578125" style="381" customWidth="1"/>
    <col min="17" max="17" width="11.42578125" style="381" customWidth="1"/>
    <col min="18" max="19" width="10.42578125" style="381" customWidth="1"/>
    <col min="20" max="24" width="11.42578125" style="381" customWidth="1"/>
    <col min="25" max="25" width="15.42578125" style="381" customWidth="1"/>
    <col min="26" max="26" width="11.42578125" style="381" customWidth="1"/>
    <col min="27" max="16384" width="9.140625" style="381"/>
  </cols>
  <sheetData>
    <row r="1" spans="1:26" hidden="1" x14ac:dyDescent="0.25"/>
    <row r="2" spans="1:26" ht="12.75" hidden="1" x14ac:dyDescent="0.2">
      <c r="A2" s="382" t="s">
        <v>230</v>
      </c>
      <c r="B2" s="383" t="s">
        <v>231</v>
      </c>
      <c r="C2" s="384">
        <v>45352</v>
      </c>
      <c r="D2" s="384">
        <v>45444</v>
      </c>
      <c r="E2" s="384">
        <v>45536</v>
      </c>
      <c r="F2" s="384">
        <v>45627</v>
      </c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</row>
    <row r="3" spans="1:26" ht="12.75" hidden="1" x14ac:dyDescent="0.2">
      <c r="A3" s="386" t="s">
        <v>232</v>
      </c>
      <c r="B3" s="387">
        <f>21000*1000</f>
        <v>21000000</v>
      </c>
      <c r="C3" s="387">
        <f t="shared" ref="C3:C11" si="0">B3/4</f>
        <v>5250000</v>
      </c>
      <c r="D3" s="387">
        <f>C3</f>
        <v>5250000</v>
      </c>
      <c r="E3" s="387">
        <f>D3</f>
        <v>5250000</v>
      </c>
      <c r="F3" s="387">
        <f>E3</f>
        <v>5250000</v>
      </c>
      <c r="G3" s="388"/>
      <c r="H3" s="388"/>
      <c r="I3" s="388"/>
      <c r="J3" s="388"/>
      <c r="K3" s="388"/>
      <c r="L3" s="388"/>
      <c r="M3" s="388"/>
      <c r="N3" s="388"/>
    </row>
    <row r="4" spans="1:26" ht="12.75" hidden="1" x14ac:dyDescent="0.2">
      <c r="A4" s="389" t="s">
        <v>233</v>
      </c>
      <c r="B4" s="390">
        <f>5400*1000</f>
        <v>5400000</v>
      </c>
      <c r="C4" s="387">
        <f t="shared" si="0"/>
        <v>1350000</v>
      </c>
      <c r="D4" s="387">
        <f t="shared" ref="D4:F11" si="1">C4</f>
        <v>1350000</v>
      </c>
      <c r="E4" s="387">
        <f t="shared" si="1"/>
        <v>1350000</v>
      </c>
      <c r="F4" s="387">
        <f t="shared" si="1"/>
        <v>1350000</v>
      </c>
      <c r="G4" s="388"/>
      <c r="H4" s="388"/>
      <c r="I4" s="388"/>
      <c r="J4" s="388"/>
      <c r="K4" s="388"/>
      <c r="L4" s="388"/>
      <c r="M4" s="388"/>
      <c r="N4" s="388"/>
    </row>
    <row r="5" spans="1:26" ht="12.75" hidden="1" x14ac:dyDescent="0.2">
      <c r="A5" s="389" t="s">
        <v>234</v>
      </c>
      <c r="B5" s="391">
        <f>14886.66045*1000</f>
        <v>14886660.449999999</v>
      </c>
      <c r="C5" s="387">
        <f t="shared" si="0"/>
        <v>3721665.1124999998</v>
      </c>
      <c r="D5" s="387">
        <f t="shared" si="1"/>
        <v>3721665.1124999998</v>
      </c>
      <c r="E5" s="387">
        <f t="shared" si="1"/>
        <v>3721665.1124999998</v>
      </c>
      <c r="F5" s="387">
        <f t="shared" si="1"/>
        <v>3721665.1124999998</v>
      </c>
      <c r="G5" s="388"/>
      <c r="H5" s="388"/>
      <c r="I5" s="388"/>
      <c r="J5" s="388"/>
      <c r="K5" s="388"/>
      <c r="L5" s="388"/>
      <c r="M5" s="388"/>
      <c r="N5" s="388"/>
    </row>
    <row r="6" spans="1:26" ht="12.75" hidden="1" x14ac:dyDescent="0.2">
      <c r="A6" s="389" t="s">
        <v>235</v>
      </c>
      <c r="B6" s="390">
        <f>8281.25*1000</f>
        <v>8281250</v>
      </c>
      <c r="C6" s="387">
        <f t="shared" si="0"/>
        <v>2070312.5</v>
      </c>
      <c r="D6" s="387">
        <f t="shared" si="1"/>
        <v>2070312.5</v>
      </c>
      <c r="E6" s="387">
        <f t="shared" si="1"/>
        <v>2070312.5</v>
      </c>
      <c r="F6" s="387">
        <f t="shared" si="1"/>
        <v>2070312.5</v>
      </c>
      <c r="G6" s="388"/>
      <c r="H6" s="388"/>
      <c r="I6" s="388"/>
      <c r="J6" s="388"/>
      <c r="K6" s="388"/>
      <c r="L6" s="388"/>
      <c r="M6" s="388"/>
      <c r="N6" s="388"/>
    </row>
    <row r="7" spans="1:26" ht="12.75" hidden="1" x14ac:dyDescent="0.2">
      <c r="A7" s="389" t="s">
        <v>236</v>
      </c>
      <c r="B7" s="390">
        <f>1120*1000</f>
        <v>1120000</v>
      </c>
      <c r="C7" s="387">
        <f t="shared" si="0"/>
        <v>280000</v>
      </c>
      <c r="D7" s="387">
        <f t="shared" si="1"/>
        <v>280000</v>
      </c>
      <c r="E7" s="387">
        <f t="shared" si="1"/>
        <v>280000</v>
      </c>
      <c r="F7" s="387">
        <f t="shared" si="1"/>
        <v>280000</v>
      </c>
      <c r="G7" s="388"/>
      <c r="H7" s="388"/>
      <c r="I7" s="388"/>
      <c r="J7" s="388"/>
      <c r="K7" s="388"/>
      <c r="L7" s="388"/>
      <c r="M7" s="388"/>
      <c r="N7" s="388"/>
    </row>
    <row r="8" spans="1:26" ht="12.75" hidden="1" x14ac:dyDescent="0.2">
      <c r="A8" s="389" t="s">
        <v>237</v>
      </c>
      <c r="B8" s="390">
        <f>4053.125*1000</f>
        <v>4053125</v>
      </c>
      <c r="C8" s="387">
        <f t="shared" si="0"/>
        <v>1013281.25</v>
      </c>
      <c r="D8" s="387">
        <f t="shared" si="1"/>
        <v>1013281.25</v>
      </c>
      <c r="E8" s="387">
        <f t="shared" si="1"/>
        <v>1013281.25</v>
      </c>
      <c r="F8" s="387">
        <f t="shared" si="1"/>
        <v>1013281.25</v>
      </c>
      <c r="G8" s="388"/>
      <c r="H8" s="388"/>
      <c r="I8" s="388"/>
      <c r="J8" s="388"/>
      <c r="K8" s="388"/>
      <c r="L8" s="388"/>
      <c r="M8" s="388"/>
      <c r="N8" s="388"/>
    </row>
    <row r="9" spans="1:26" ht="12.75" hidden="1" x14ac:dyDescent="0.2">
      <c r="A9" s="389" t="s">
        <v>238</v>
      </c>
      <c r="B9" s="390">
        <f>2750*1000</f>
        <v>2750000</v>
      </c>
      <c r="C9" s="387">
        <f t="shared" si="0"/>
        <v>687500</v>
      </c>
      <c r="D9" s="387">
        <f t="shared" si="1"/>
        <v>687500</v>
      </c>
      <c r="E9" s="387">
        <f t="shared" si="1"/>
        <v>687500</v>
      </c>
      <c r="F9" s="387">
        <f t="shared" si="1"/>
        <v>687500</v>
      </c>
      <c r="G9" s="388"/>
      <c r="H9" s="388"/>
      <c r="I9" s="388"/>
      <c r="J9" s="388"/>
      <c r="K9" s="388"/>
      <c r="L9" s="388"/>
      <c r="M9" s="388"/>
      <c r="N9" s="388"/>
    </row>
    <row r="10" spans="1:26" ht="12.75" hidden="1" x14ac:dyDescent="0.2">
      <c r="A10" s="389" t="s">
        <v>239</v>
      </c>
      <c r="B10" s="390">
        <f>SUM(B3:B9)</f>
        <v>57491035.450000003</v>
      </c>
      <c r="C10" s="387">
        <f t="shared" si="0"/>
        <v>14372758.862500001</v>
      </c>
      <c r="D10" s="387">
        <f t="shared" si="1"/>
        <v>14372758.862500001</v>
      </c>
      <c r="E10" s="387">
        <f t="shared" si="1"/>
        <v>14372758.862500001</v>
      </c>
      <c r="F10" s="387">
        <f t="shared" si="1"/>
        <v>14372758.862500001</v>
      </c>
      <c r="G10" s="388"/>
      <c r="H10" s="388"/>
      <c r="I10" s="388"/>
      <c r="J10" s="388"/>
      <c r="K10" s="388"/>
      <c r="L10" s="388"/>
      <c r="M10" s="388"/>
      <c r="N10" s="388"/>
    </row>
    <row r="11" spans="1:26" ht="12.75" hidden="1" x14ac:dyDescent="0.2">
      <c r="A11" s="389" t="s">
        <v>240</v>
      </c>
      <c r="B11" s="390">
        <f>5%*B10</f>
        <v>2874551.7725000004</v>
      </c>
      <c r="C11" s="387">
        <f t="shared" si="0"/>
        <v>718637.94312500011</v>
      </c>
      <c r="D11" s="387">
        <f t="shared" si="1"/>
        <v>718637.94312500011</v>
      </c>
      <c r="E11" s="387">
        <f t="shared" si="1"/>
        <v>718637.94312500011</v>
      </c>
      <c r="F11" s="387">
        <f t="shared" si="1"/>
        <v>718637.94312500011</v>
      </c>
      <c r="G11" s="388"/>
      <c r="H11" s="388"/>
      <c r="I11" s="388"/>
      <c r="J11" s="388"/>
      <c r="K11" s="388"/>
      <c r="L11" s="388"/>
      <c r="M11" s="388"/>
      <c r="N11" s="388"/>
    </row>
    <row r="12" spans="1:26" ht="12.75" hidden="1" x14ac:dyDescent="0.2">
      <c r="A12" s="392" t="s">
        <v>142</v>
      </c>
      <c r="B12" s="393">
        <f>SUM(B10:B11)</f>
        <v>60365587.222500004</v>
      </c>
      <c r="C12" s="393">
        <f>SUM(C10:C11)</f>
        <v>15091396.805625001</v>
      </c>
      <c r="D12" s="393">
        <f>SUM(D10:D11)</f>
        <v>15091396.805625001</v>
      </c>
      <c r="E12" s="393">
        <f>SUM(E10:E11)</f>
        <v>15091396.805625001</v>
      </c>
      <c r="F12" s="393">
        <f>SUM(F10:F11)</f>
        <v>15091396.805625001</v>
      </c>
      <c r="G12" s="394"/>
      <c r="H12" s="394"/>
      <c r="I12" s="394"/>
      <c r="J12" s="394"/>
      <c r="K12" s="394"/>
      <c r="L12" s="394"/>
      <c r="M12" s="394"/>
      <c r="N12" s="394"/>
      <c r="O12" s="394"/>
      <c r="P12" s="394"/>
      <c r="Q12" s="394"/>
      <c r="R12" s="394"/>
      <c r="S12" s="394"/>
      <c r="T12" s="394"/>
      <c r="U12" s="394"/>
      <c r="V12" s="394"/>
      <c r="W12" s="394"/>
      <c r="X12" s="394"/>
      <c r="Y12" s="394"/>
      <c r="Z12" s="394"/>
    </row>
    <row r="13" spans="1:26" ht="12.75" x14ac:dyDescent="0.2">
      <c r="A13" s="395"/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4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94"/>
      <c r="Y13" s="394"/>
      <c r="Z13" s="394"/>
    </row>
    <row r="14" spans="1:26" ht="12.75" x14ac:dyDescent="0.2">
      <c r="A14" s="395"/>
      <c r="B14" s="394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4"/>
      <c r="O14" s="394"/>
      <c r="P14" s="394"/>
      <c r="Q14" s="394"/>
      <c r="R14" s="394"/>
      <c r="S14" s="394"/>
      <c r="T14" s="394"/>
      <c r="U14" s="394"/>
      <c r="V14" s="394"/>
      <c r="W14" s="394"/>
      <c r="X14" s="394"/>
      <c r="Y14" s="394"/>
      <c r="Z14" s="394"/>
    </row>
    <row r="15" spans="1:26" ht="12.75" x14ac:dyDescent="0.2">
      <c r="A15" s="382" t="s">
        <v>230</v>
      </c>
      <c r="B15" s="383" t="s">
        <v>241</v>
      </c>
      <c r="C15" s="384">
        <v>46082</v>
      </c>
      <c r="D15" s="384">
        <v>46174</v>
      </c>
      <c r="E15" s="384">
        <v>46266</v>
      </c>
      <c r="F15" s="384">
        <v>46357</v>
      </c>
      <c r="G15" s="394"/>
      <c r="H15" s="394"/>
      <c r="I15" s="394"/>
      <c r="J15" s="394"/>
      <c r="K15" s="394"/>
      <c r="L15" s="394"/>
      <c r="M15" s="394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4"/>
      <c r="Y15" s="394"/>
      <c r="Z15" s="394"/>
    </row>
    <row r="16" spans="1:26" ht="12.75" x14ac:dyDescent="0.2">
      <c r="A16" s="386" t="s">
        <v>242</v>
      </c>
      <c r="B16" s="387"/>
      <c r="C16" s="387"/>
      <c r="D16" s="387"/>
      <c r="E16" s="387"/>
      <c r="F16" s="387"/>
      <c r="G16" s="394"/>
      <c r="H16" s="394"/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</row>
    <row r="17" spans="1:26" ht="25.5" x14ac:dyDescent="0.2">
      <c r="A17" s="389" t="s">
        <v>243</v>
      </c>
      <c r="B17" s="387"/>
      <c r="C17" s="387"/>
      <c r="D17" s="387"/>
      <c r="E17" s="387"/>
      <c r="F17" s="387"/>
      <c r="G17" s="394"/>
      <c r="H17" s="39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Z17" s="394"/>
    </row>
    <row r="18" spans="1:26" ht="12.75" x14ac:dyDescent="0.2">
      <c r="A18" s="389" t="s">
        <v>244</v>
      </c>
      <c r="B18" s="387"/>
      <c r="C18" s="387"/>
      <c r="D18" s="387"/>
      <c r="E18" s="387"/>
      <c r="F18" s="387"/>
      <c r="G18" s="394"/>
      <c r="H18" s="394"/>
      <c r="I18" s="394"/>
      <c r="J18" s="394"/>
      <c r="K18" s="394"/>
      <c r="L18" s="394"/>
      <c r="M18" s="394"/>
      <c r="N18" s="394"/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Z18" s="394"/>
    </row>
    <row r="19" spans="1:26" ht="12.75" x14ac:dyDescent="0.2">
      <c r="A19" s="389" t="s">
        <v>245</v>
      </c>
      <c r="B19" s="387"/>
      <c r="C19" s="387"/>
      <c r="D19" s="387"/>
      <c r="E19" s="387"/>
      <c r="F19" s="387"/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394"/>
    </row>
    <row r="20" spans="1:26" ht="12.75" x14ac:dyDescent="0.2">
      <c r="A20" s="389" t="s">
        <v>246</v>
      </c>
      <c r="B20" s="387"/>
      <c r="C20" s="387"/>
      <c r="D20" s="387"/>
      <c r="E20" s="387"/>
      <c r="F20" s="387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</row>
    <row r="21" spans="1:26" ht="12.75" x14ac:dyDescent="0.2">
      <c r="A21" s="389" t="s">
        <v>239</v>
      </c>
      <c r="B21" s="387"/>
      <c r="C21" s="387"/>
      <c r="D21" s="387"/>
      <c r="E21" s="387"/>
      <c r="F21" s="387"/>
      <c r="G21" s="394"/>
      <c r="H21" s="394"/>
      <c r="I21" s="394"/>
      <c r="J21" s="394"/>
      <c r="K21" s="394"/>
      <c r="L21" s="394"/>
      <c r="M21" s="394"/>
      <c r="N21" s="394"/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Z21" s="394"/>
    </row>
    <row r="22" spans="1:26" ht="12.75" x14ac:dyDescent="0.2">
      <c r="A22" s="389" t="s">
        <v>240</v>
      </c>
      <c r="B22" s="390"/>
      <c r="C22" s="387"/>
      <c r="D22" s="387"/>
      <c r="E22" s="387"/>
      <c r="F22" s="387"/>
      <c r="G22" s="394"/>
      <c r="H22" s="394"/>
      <c r="I22" s="394"/>
      <c r="J22" s="394"/>
      <c r="K22" s="394"/>
      <c r="L22" s="394"/>
      <c r="M22" s="394"/>
      <c r="N22" s="394"/>
      <c r="O22" s="394"/>
      <c r="P22" s="394"/>
      <c r="Q22" s="394"/>
      <c r="R22" s="394"/>
      <c r="S22" s="394"/>
      <c r="T22" s="394"/>
      <c r="U22" s="394"/>
      <c r="V22" s="394"/>
      <c r="W22" s="394"/>
      <c r="X22" s="394"/>
      <c r="Y22" s="394"/>
      <c r="Z22" s="394"/>
    </row>
    <row r="23" spans="1:26" ht="12.75" x14ac:dyDescent="0.2">
      <c r="A23" s="392" t="s">
        <v>142</v>
      </c>
      <c r="B23" s="393"/>
      <c r="C23" s="393"/>
      <c r="D23" s="393"/>
      <c r="E23" s="393"/>
      <c r="F23" s="393"/>
      <c r="G23" s="394"/>
      <c r="H23" s="394"/>
      <c r="I23" s="394"/>
      <c r="J23" s="394"/>
      <c r="K23" s="394"/>
      <c r="L23" s="394"/>
      <c r="M23" s="394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Z23" s="394"/>
    </row>
    <row r="24" spans="1:26" ht="12.75" x14ac:dyDescent="0.2">
      <c r="A24" s="395"/>
      <c r="B24" s="394"/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Z24" s="394"/>
    </row>
    <row r="25" spans="1:26" ht="12.75" x14ac:dyDescent="0.2">
      <c r="A25" s="395"/>
      <c r="B25" s="394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94"/>
    </row>
    <row r="26" spans="1:26" ht="12.75" x14ac:dyDescent="0.2">
      <c r="A26" s="395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Z26" s="394"/>
    </row>
    <row r="31" spans="1:26" ht="12.75" x14ac:dyDescent="0.2">
      <c r="A31" s="396"/>
      <c r="B31" s="398"/>
      <c r="C31" s="398"/>
      <c r="D31" s="398"/>
      <c r="E31" s="398"/>
      <c r="F31" s="398"/>
      <c r="G31" s="398"/>
      <c r="H31" s="398"/>
      <c r="I31" s="398"/>
    </row>
    <row r="32" spans="1:26" ht="12.75" x14ac:dyDescent="0.2">
      <c r="C32" s="397"/>
      <c r="D32" s="397"/>
      <c r="E32" s="397"/>
      <c r="F32" s="397"/>
      <c r="G32" s="397"/>
      <c r="H32" s="397"/>
      <c r="I32" s="39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6BEE-F469-4547-8586-52C7762E4574}">
  <dimension ref="A2:S92"/>
  <sheetViews>
    <sheetView showGridLines="0" tabSelected="1" workbookViewId="0">
      <selection activeCell="C12" sqref="C12"/>
    </sheetView>
  </sheetViews>
  <sheetFormatPr defaultColWidth="11.42578125" defaultRowHeight="15" x14ac:dyDescent="0.25"/>
  <cols>
    <col min="1" max="1" width="31" customWidth="1"/>
    <col min="2" max="19" width="19" customWidth="1"/>
  </cols>
  <sheetData>
    <row r="2" spans="1:19" ht="21" x14ac:dyDescent="0.35">
      <c r="A2" s="173" t="s">
        <v>120</v>
      </c>
      <c r="B2" s="173"/>
      <c r="C2" s="173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spans="1:19" ht="21.75" thickBot="1" x14ac:dyDescent="0.4">
      <c r="A3" s="173"/>
      <c r="B3" s="173"/>
      <c r="C3" s="173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</row>
    <row r="4" spans="1:19" ht="25.15" customHeight="1" thickBot="1" x14ac:dyDescent="0.3">
      <c r="A4" s="399" t="s">
        <v>247</v>
      </c>
      <c r="B4" s="400"/>
      <c r="C4" s="400"/>
      <c r="D4" s="400"/>
      <c r="E4" s="400"/>
      <c r="F4" s="400"/>
      <c r="G4" s="401"/>
      <c r="H4" s="401"/>
      <c r="I4" s="401"/>
      <c r="J4" s="401"/>
      <c r="K4" s="401"/>
      <c r="L4" s="401"/>
      <c r="M4" s="401"/>
      <c r="N4" s="402"/>
      <c r="O4" s="403"/>
      <c r="P4" s="403"/>
      <c r="Q4" s="403"/>
      <c r="R4" s="403"/>
      <c r="S4" s="403"/>
    </row>
    <row r="5" spans="1:19" ht="40.15" customHeight="1" thickBot="1" x14ac:dyDescent="0.35">
      <c r="A5" s="404" t="s">
        <v>122</v>
      </c>
      <c r="B5" s="404" t="s">
        <v>248</v>
      </c>
      <c r="C5" s="405" t="s">
        <v>249</v>
      </c>
      <c r="D5" s="406" t="s">
        <v>250</v>
      </c>
      <c r="E5" s="405" t="s">
        <v>251</v>
      </c>
      <c r="F5" s="407" t="s">
        <v>252</v>
      </c>
      <c r="G5" s="408" t="s">
        <v>253</v>
      </c>
      <c r="H5" s="408" t="s">
        <v>254</v>
      </c>
      <c r="I5" s="408" t="s">
        <v>255</v>
      </c>
      <c r="J5" s="408" t="s">
        <v>256</v>
      </c>
      <c r="K5" s="408" t="s">
        <v>257</v>
      </c>
      <c r="L5" s="408" t="s">
        <v>258</v>
      </c>
      <c r="M5" s="408" t="s">
        <v>259</v>
      </c>
      <c r="N5" s="409" t="s">
        <v>260</v>
      </c>
      <c r="O5" s="410" t="s">
        <v>261</v>
      </c>
      <c r="P5" s="411"/>
      <c r="Q5" s="411"/>
      <c r="R5" s="411"/>
      <c r="S5" s="411"/>
    </row>
    <row r="6" spans="1:19" ht="48" customHeight="1" thickBot="1" x14ac:dyDescent="0.35">
      <c r="A6" s="412" t="s">
        <v>134</v>
      </c>
      <c r="B6" s="413">
        <f>[1]Volumes!C6</f>
        <v>0</v>
      </c>
      <c r="C6" s="414">
        <f>12*B6</f>
        <v>0</v>
      </c>
      <c r="D6" s="415"/>
      <c r="E6" s="416"/>
      <c r="F6" s="417"/>
      <c r="G6" s="418"/>
      <c r="H6" s="418"/>
      <c r="I6" s="418"/>
      <c r="J6" s="418"/>
      <c r="K6" s="418"/>
      <c r="L6" s="419"/>
      <c r="M6" s="418"/>
      <c r="N6" s="420"/>
      <c r="O6" s="421">
        <f>E6*L6</f>
        <v>0</v>
      </c>
      <c r="R6" s="422">
        <f>150000/16.5</f>
        <v>9090.9090909090901</v>
      </c>
      <c r="S6" s="422">
        <f>17000*16.5</f>
        <v>280500</v>
      </c>
    </row>
    <row r="7" spans="1:19" ht="49.9" customHeight="1" thickBot="1" x14ac:dyDescent="0.35">
      <c r="A7" s="423" t="s">
        <v>135</v>
      </c>
      <c r="B7" s="413">
        <f>[1]Volumes!C7</f>
        <v>0</v>
      </c>
      <c r="C7" s="414">
        <f>B7*12</f>
        <v>0</v>
      </c>
      <c r="D7" s="424"/>
      <c r="E7" s="416"/>
      <c r="F7" s="417"/>
      <c r="G7" s="418"/>
      <c r="H7" s="418"/>
      <c r="I7" s="418"/>
      <c r="J7" s="418"/>
      <c r="K7" s="418"/>
      <c r="L7" s="419"/>
      <c r="M7" s="418"/>
      <c r="N7" s="420"/>
      <c r="O7" s="421">
        <f t="shared" ref="O7:O12" si="0">E7*L7</f>
        <v>0</v>
      </c>
    </row>
    <row r="8" spans="1:19" ht="54" customHeight="1" thickBot="1" x14ac:dyDescent="0.35">
      <c r="A8" s="423" t="s">
        <v>136</v>
      </c>
      <c r="B8" s="413">
        <f>[1]Volumes!C8</f>
        <v>0</v>
      </c>
      <c r="C8" s="414">
        <f t="shared" ref="C8:C15" si="1">12*B8</f>
        <v>0</v>
      </c>
      <c r="D8" s="424"/>
      <c r="E8" s="416"/>
      <c r="F8" s="425"/>
      <c r="G8" s="418"/>
      <c r="H8" s="418"/>
      <c r="I8" s="418"/>
      <c r="J8" s="418"/>
      <c r="K8" s="418"/>
      <c r="L8" s="419"/>
      <c r="M8" s="418"/>
      <c r="N8" s="420"/>
      <c r="O8" s="421">
        <f t="shared" si="0"/>
        <v>0</v>
      </c>
    </row>
    <row r="9" spans="1:19" ht="52.15" customHeight="1" thickBot="1" x14ac:dyDescent="0.35">
      <c r="A9" s="423" t="s">
        <v>137</v>
      </c>
      <c r="B9" s="413">
        <f>[1]Volumes!C9</f>
        <v>0</v>
      </c>
      <c r="C9" s="414">
        <f t="shared" si="1"/>
        <v>0</v>
      </c>
      <c r="D9" s="424"/>
      <c r="E9" s="416"/>
      <c r="F9" s="425"/>
      <c r="G9" s="418"/>
      <c r="H9" s="418"/>
      <c r="I9" s="418"/>
      <c r="J9" s="418"/>
      <c r="K9" s="418"/>
      <c r="L9" s="419"/>
      <c r="M9" s="418"/>
      <c r="N9" s="420"/>
      <c r="O9" s="421">
        <f t="shared" si="0"/>
        <v>0</v>
      </c>
    </row>
    <row r="10" spans="1:19" ht="46.9" customHeight="1" thickBot="1" x14ac:dyDescent="0.35">
      <c r="A10" s="426" t="s">
        <v>138</v>
      </c>
      <c r="B10" s="413">
        <f>[1]Volumes!C10</f>
        <v>0</v>
      </c>
      <c r="C10" s="414">
        <f t="shared" si="1"/>
        <v>0</v>
      </c>
      <c r="D10" s="424"/>
      <c r="E10" s="416"/>
      <c r="F10" s="425"/>
      <c r="G10" s="418"/>
      <c r="H10" s="418"/>
      <c r="I10" s="418"/>
      <c r="J10" s="418"/>
      <c r="K10" s="418"/>
      <c r="L10" s="419"/>
      <c r="M10" s="418"/>
      <c r="N10" s="420"/>
      <c r="O10" s="421">
        <f t="shared" si="0"/>
        <v>0</v>
      </c>
    </row>
    <row r="11" spans="1:19" ht="49.9" customHeight="1" thickBot="1" x14ac:dyDescent="0.35">
      <c r="A11" s="427" t="s">
        <v>139</v>
      </c>
      <c r="B11" s="413">
        <f>[1]Volumes!C11</f>
        <v>0</v>
      </c>
      <c r="C11" s="428">
        <f>12*B11</f>
        <v>0</v>
      </c>
      <c r="D11" s="424"/>
      <c r="E11" s="416"/>
      <c r="F11" s="425"/>
      <c r="G11" s="418"/>
      <c r="H11" s="418"/>
      <c r="I11" s="418"/>
      <c r="J11" s="418"/>
      <c r="K11" s="418"/>
      <c r="L11" s="419"/>
      <c r="M11" s="418"/>
      <c r="N11" s="420"/>
      <c r="O11" s="421">
        <f t="shared" si="0"/>
        <v>0</v>
      </c>
    </row>
    <row r="12" spans="1:19" ht="49.15" customHeight="1" thickBot="1" x14ac:dyDescent="0.35">
      <c r="A12" s="427" t="s">
        <v>140</v>
      </c>
      <c r="B12" s="413">
        <f>[1]Volumes!C12</f>
        <v>0</v>
      </c>
      <c r="C12" s="428">
        <f>12*B12</f>
        <v>0</v>
      </c>
      <c r="D12" s="429"/>
      <c r="E12" s="416"/>
      <c r="F12" s="425"/>
      <c r="G12" s="418"/>
      <c r="H12" s="418"/>
      <c r="I12" s="418"/>
      <c r="J12" s="418"/>
      <c r="K12" s="418"/>
      <c r="L12" s="419"/>
      <c r="M12" s="418"/>
      <c r="N12" s="420"/>
      <c r="O12" s="421">
        <f t="shared" si="0"/>
        <v>0</v>
      </c>
    </row>
    <row r="13" spans="1:19" ht="36" customHeight="1" thickBot="1" x14ac:dyDescent="0.35">
      <c r="A13" s="430" t="s">
        <v>141</v>
      </c>
      <c r="B13" s="413">
        <f>[1]Volumes!C13</f>
        <v>0</v>
      </c>
      <c r="C13" s="431">
        <f>12*B13</f>
        <v>0</v>
      </c>
      <c r="D13" s="432"/>
      <c r="E13" s="433"/>
      <c r="F13" s="434"/>
      <c r="G13" s="435"/>
      <c r="H13" s="435"/>
      <c r="I13" s="435"/>
      <c r="J13" s="435"/>
      <c r="K13" s="435"/>
      <c r="L13" s="419">
        <f t="shared" ref="L13:L14" si="2">SUM(F13:K13)</f>
        <v>0</v>
      </c>
      <c r="M13" s="435"/>
      <c r="N13" s="436"/>
      <c r="O13" s="437"/>
    </row>
    <row r="14" spans="1:19" ht="43.9" customHeight="1" thickBot="1" x14ac:dyDescent="0.4">
      <c r="A14" s="438" t="s">
        <v>142</v>
      </c>
      <c r="B14" s="439">
        <f>SUM(B6:B13)</f>
        <v>0</v>
      </c>
      <c r="C14" s="440">
        <f>SUM(C6:C13)-C13</f>
        <v>0</v>
      </c>
      <c r="D14" s="441"/>
      <c r="E14" s="442"/>
      <c r="F14" s="443"/>
      <c r="G14" s="435"/>
      <c r="H14" s="435"/>
      <c r="I14" s="435"/>
      <c r="J14" s="435"/>
      <c r="K14" s="435"/>
      <c r="L14" s="419">
        <f t="shared" si="2"/>
        <v>0</v>
      </c>
      <c r="M14" s="444">
        <f>SUM(M6:M13)</f>
        <v>0</v>
      </c>
      <c r="N14" s="445">
        <f>SUM(N6:N13)</f>
        <v>0</v>
      </c>
      <c r="O14" s="446">
        <f>SUM(O6:O13)</f>
        <v>0</v>
      </c>
    </row>
    <row r="15" spans="1:19" ht="46.9" customHeight="1" thickBot="1" x14ac:dyDescent="0.35">
      <c r="A15" s="427" t="s">
        <v>143</v>
      </c>
      <c r="B15" s="413">
        <f>[1]Volumes!C15</f>
        <v>0</v>
      </c>
      <c r="C15" s="429">
        <f t="shared" si="1"/>
        <v>0</v>
      </c>
      <c r="D15" s="429"/>
      <c r="E15" s="447"/>
      <c r="F15" s="448"/>
      <c r="G15" s="418"/>
      <c r="H15" s="449"/>
      <c r="I15" s="418"/>
      <c r="J15" s="418"/>
      <c r="K15" s="418"/>
      <c r="L15" s="419"/>
      <c r="M15" s="418"/>
      <c r="N15" s="420"/>
      <c r="O15" s="421"/>
    </row>
    <row r="16" spans="1:19" ht="26.25" x14ac:dyDescent="0.4">
      <c r="A16" s="174"/>
      <c r="B16" s="174"/>
      <c r="C16" s="174"/>
      <c r="D16" s="174"/>
      <c r="E16" s="174"/>
      <c r="F16" s="450"/>
      <c r="G16" s="174"/>
      <c r="H16" s="174"/>
      <c r="I16" s="174"/>
      <c r="J16" s="174"/>
      <c r="K16" s="174"/>
      <c r="L16" s="174"/>
      <c r="M16" s="174"/>
      <c r="N16" s="451">
        <f>SUM(N14:N15)</f>
        <v>0</v>
      </c>
      <c r="O16" s="451">
        <f>SUM(O14:O15)</f>
        <v>0</v>
      </c>
    </row>
    <row r="17" spans="1:15" ht="31.9" customHeight="1" x14ac:dyDescent="0.35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452" t="s">
        <v>262</v>
      </c>
      <c r="O17" s="452" t="s">
        <v>248</v>
      </c>
    </row>
    <row r="18" spans="1:15" ht="33" customHeight="1" x14ac:dyDescent="0.4">
      <c r="A18" s="453" t="s">
        <v>263</v>
      </c>
      <c r="B18" s="453"/>
      <c r="C18" s="454"/>
      <c r="D18" s="174"/>
      <c r="E18" s="174"/>
      <c r="F18" s="174"/>
      <c r="G18" s="455"/>
      <c r="H18" s="174"/>
      <c r="I18" s="174"/>
      <c r="J18" s="174"/>
      <c r="K18" s="174"/>
      <c r="L18" s="174"/>
      <c r="M18" s="456" t="s">
        <v>264</v>
      </c>
      <c r="N18" s="457">
        <f>N16*14.5</f>
        <v>0</v>
      </c>
      <c r="O18" s="458">
        <f>O16*14.5</f>
        <v>0</v>
      </c>
    </row>
    <row r="19" spans="1:15" ht="21" x14ac:dyDescent="0.35">
      <c r="A19" s="459" t="s">
        <v>265</v>
      </c>
      <c r="B19" s="459"/>
      <c r="F19" s="174"/>
      <c r="H19" s="460"/>
    </row>
    <row r="20" spans="1:15" ht="24" customHeight="1" x14ac:dyDescent="0.25">
      <c r="A20" s="459" t="s">
        <v>266</v>
      </c>
      <c r="B20" s="459"/>
      <c r="G20" s="460"/>
      <c r="N20" s="461">
        <f>785394935.34-N16</f>
        <v>785394935.34000003</v>
      </c>
      <c r="O20" s="462" t="e">
        <f>N20/N16</f>
        <v>#DIV/0!</v>
      </c>
    </row>
    <row r="21" spans="1:15" ht="28.9" customHeight="1" x14ac:dyDescent="0.25">
      <c r="A21" s="459" t="s">
        <v>267</v>
      </c>
      <c r="B21" s="463"/>
      <c r="H21" s="460"/>
      <c r="N21" s="461">
        <f>N20*14.5</f>
        <v>11388226562.43</v>
      </c>
    </row>
    <row r="22" spans="1:15" ht="28.9" customHeight="1" x14ac:dyDescent="0.25">
      <c r="A22" s="459"/>
      <c r="B22" s="463"/>
      <c r="H22" s="460"/>
      <c r="N22" s="460"/>
    </row>
    <row r="23" spans="1:15" ht="28.9" customHeight="1" x14ac:dyDescent="0.25">
      <c r="A23" s="459"/>
      <c r="B23" s="463"/>
      <c r="H23" s="460"/>
      <c r="N23" s="460"/>
    </row>
    <row r="24" spans="1:15" ht="28.9" customHeight="1" x14ac:dyDescent="0.25">
      <c r="A24" s="459"/>
      <c r="B24" s="463"/>
      <c r="H24" s="460"/>
      <c r="N24" s="460"/>
    </row>
    <row r="25" spans="1:15" s="466" customFormat="1" ht="28.9" customHeight="1" x14ac:dyDescent="0.25">
      <c r="A25" s="464" t="s">
        <v>268</v>
      </c>
      <c r="B25" s="465"/>
      <c r="H25" s="467"/>
      <c r="N25" s="467"/>
    </row>
    <row r="27" spans="1:15" hidden="1" x14ac:dyDescent="0.25"/>
    <row r="28" spans="1:15" hidden="1" x14ac:dyDescent="0.25"/>
    <row r="29" spans="1:15" hidden="1" x14ac:dyDescent="0.25"/>
    <row r="30" spans="1:15" ht="30" hidden="1" x14ac:dyDescent="0.4">
      <c r="A30" s="468" t="s">
        <v>269</v>
      </c>
      <c r="B30" s="469"/>
      <c r="C30" s="469"/>
      <c r="D30" s="469"/>
      <c r="E30" s="469"/>
      <c r="F30" s="469"/>
      <c r="G30" s="470"/>
      <c r="H30" s="470"/>
      <c r="I30" s="470"/>
      <c r="J30" s="470"/>
      <c r="K30" s="470"/>
      <c r="L30" s="470"/>
      <c r="M30" s="470"/>
      <c r="N30" s="471"/>
      <c r="O30" s="174"/>
    </row>
    <row r="31" spans="1:15" ht="81.75" hidden="1" thickBot="1" x14ac:dyDescent="0.35">
      <c r="A31" s="472" t="s">
        <v>122</v>
      </c>
      <c r="B31" s="473" t="s">
        <v>270</v>
      </c>
      <c r="C31" s="474" t="s">
        <v>271</v>
      </c>
      <c r="D31" s="475" t="s">
        <v>250</v>
      </c>
      <c r="E31" s="474" t="s">
        <v>251</v>
      </c>
      <c r="F31" s="476" t="s">
        <v>252</v>
      </c>
      <c r="G31" s="477" t="s">
        <v>272</v>
      </c>
      <c r="H31" s="477" t="s">
        <v>273</v>
      </c>
      <c r="I31" s="477" t="s">
        <v>274</v>
      </c>
      <c r="J31" s="477" t="s">
        <v>275</v>
      </c>
      <c r="K31" s="477" t="s">
        <v>276</v>
      </c>
      <c r="L31" s="477" t="s">
        <v>277</v>
      </c>
      <c r="M31" s="477" t="s">
        <v>259</v>
      </c>
      <c r="N31" s="478" t="s">
        <v>278</v>
      </c>
      <c r="O31" s="479" t="s">
        <v>261</v>
      </c>
    </row>
    <row r="32" spans="1:15" ht="21" hidden="1" thickBot="1" x14ac:dyDescent="0.35">
      <c r="A32" s="480" t="s">
        <v>134</v>
      </c>
      <c r="B32" s="413">
        <f>[1]Volumes!E6-[1]Volumes!I6</f>
        <v>0</v>
      </c>
      <c r="C32" s="414">
        <f t="shared" ref="C32:C38" si="3">B32/3</f>
        <v>0</v>
      </c>
      <c r="D32" s="415">
        <v>1342.5029999999999</v>
      </c>
      <c r="E32" s="416">
        <f t="shared" ref="E32:E38" si="4">C32/D32</f>
        <v>0</v>
      </c>
      <c r="F32" s="417">
        <f>860*1.05</f>
        <v>903</v>
      </c>
      <c r="G32" s="418">
        <v>105</v>
      </c>
      <c r="H32" s="418">
        <v>9</v>
      </c>
      <c r="I32" s="418">
        <f>12*1.185</f>
        <v>14.22</v>
      </c>
      <c r="J32" s="418">
        <f>3.5+5+2.9</f>
        <v>11.4</v>
      </c>
      <c r="K32" s="418">
        <v>15</v>
      </c>
      <c r="L32" s="419">
        <f>F33+G32+H32+I32+J32+K32</f>
        <v>1057.6200000000001</v>
      </c>
      <c r="M32" s="418">
        <f t="shared" ref="M32:M37" si="5">F33*E32</f>
        <v>0</v>
      </c>
      <c r="N32" s="420">
        <f t="shared" ref="N32:N38" si="6">E32*3*L32</f>
        <v>0</v>
      </c>
      <c r="O32" s="421">
        <f t="shared" ref="O32:O38" si="7">E32*L32/3</f>
        <v>0</v>
      </c>
    </row>
    <row r="33" spans="1:15" ht="21" hidden="1" thickBot="1" x14ac:dyDescent="0.35">
      <c r="A33" s="481" t="s">
        <v>135</v>
      </c>
      <c r="B33" s="413">
        <f>[1]Volumes!E7-[1]Volumes!I7</f>
        <v>0</v>
      </c>
      <c r="C33" s="414">
        <f t="shared" si="3"/>
        <v>0</v>
      </c>
      <c r="D33" s="424">
        <v>1183.432</v>
      </c>
      <c r="E33" s="416">
        <f t="shared" si="4"/>
        <v>0</v>
      </c>
      <c r="F33" s="417">
        <f>860*1.05</f>
        <v>903</v>
      </c>
      <c r="G33" s="418">
        <v>105</v>
      </c>
      <c r="H33" s="418">
        <v>9</v>
      </c>
      <c r="I33" s="418">
        <f t="shared" ref="I33:I41" si="8">12*1.185</f>
        <v>14.22</v>
      </c>
      <c r="J33" s="418">
        <f t="shared" ref="J33:J41" si="9">3.5+5+2.9</f>
        <v>11.4</v>
      </c>
      <c r="K33" s="418">
        <v>15</v>
      </c>
      <c r="L33" s="419">
        <f t="shared" ref="L33:L38" si="10">F34+G33+H33+I33+J33+K33</f>
        <v>1046.94</v>
      </c>
      <c r="M33" s="418">
        <f t="shared" si="5"/>
        <v>0</v>
      </c>
      <c r="N33" s="420">
        <f t="shared" si="6"/>
        <v>0</v>
      </c>
      <c r="O33" s="421">
        <f t="shared" si="7"/>
        <v>0</v>
      </c>
    </row>
    <row r="34" spans="1:15" ht="41.25" hidden="1" thickBot="1" x14ac:dyDescent="0.35">
      <c r="A34" s="481" t="s">
        <v>136</v>
      </c>
      <c r="B34" s="413">
        <f>[1]Volumes!E8-[1]Volumes!I8</f>
        <v>0</v>
      </c>
      <c r="C34" s="414">
        <f t="shared" si="3"/>
        <v>0</v>
      </c>
      <c r="D34" s="424">
        <v>1183.432</v>
      </c>
      <c r="E34" s="416">
        <f t="shared" si="4"/>
        <v>0</v>
      </c>
      <c r="F34" s="425">
        <f>858*1.04</f>
        <v>892.32</v>
      </c>
      <c r="G34" s="418">
        <v>105</v>
      </c>
      <c r="H34" s="418">
        <v>9</v>
      </c>
      <c r="I34" s="418">
        <f t="shared" si="8"/>
        <v>14.22</v>
      </c>
      <c r="J34" s="418">
        <f t="shared" si="9"/>
        <v>11.4</v>
      </c>
      <c r="K34" s="418">
        <v>15</v>
      </c>
      <c r="L34" s="419">
        <f t="shared" si="10"/>
        <v>1046.94</v>
      </c>
      <c r="M34" s="418">
        <f t="shared" si="5"/>
        <v>0</v>
      </c>
      <c r="N34" s="420">
        <f t="shared" si="6"/>
        <v>0</v>
      </c>
      <c r="O34" s="421">
        <f t="shared" si="7"/>
        <v>0</v>
      </c>
    </row>
    <row r="35" spans="1:15" ht="41.25" hidden="1" thickBot="1" x14ac:dyDescent="0.35">
      <c r="A35" s="481" t="s">
        <v>137</v>
      </c>
      <c r="B35" s="413">
        <f>[1]Volumes!E9-[1]Volumes!I9</f>
        <v>0</v>
      </c>
      <c r="C35" s="414">
        <f t="shared" si="3"/>
        <v>0</v>
      </c>
      <c r="D35" s="424">
        <v>1183.432</v>
      </c>
      <c r="E35" s="416">
        <f t="shared" si="4"/>
        <v>0</v>
      </c>
      <c r="F35" s="425">
        <f>858*1.04</f>
        <v>892.32</v>
      </c>
      <c r="G35" s="418">
        <v>105</v>
      </c>
      <c r="H35" s="418">
        <v>9</v>
      </c>
      <c r="I35" s="418">
        <f t="shared" si="8"/>
        <v>14.22</v>
      </c>
      <c r="J35" s="418">
        <f t="shared" si="9"/>
        <v>11.4</v>
      </c>
      <c r="K35" s="418">
        <v>15</v>
      </c>
      <c r="L35" s="419">
        <f t="shared" si="10"/>
        <v>1046.94</v>
      </c>
      <c r="M35" s="418">
        <f t="shared" si="5"/>
        <v>0</v>
      </c>
      <c r="N35" s="420">
        <f t="shared" si="6"/>
        <v>0</v>
      </c>
      <c r="O35" s="421">
        <f t="shared" si="7"/>
        <v>0</v>
      </c>
    </row>
    <row r="36" spans="1:15" ht="21" hidden="1" thickBot="1" x14ac:dyDescent="0.35">
      <c r="A36" s="482" t="s">
        <v>138</v>
      </c>
      <c r="B36" s="413">
        <f>[1]Volumes!E10-[1]Volumes!I10</f>
        <v>0</v>
      </c>
      <c r="C36" s="414">
        <f t="shared" si="3"/>
        <v>0</v>
      </c>
      <c r="D36" s="424">
        <v>1183.432</v>
      </c>
      <c r="E36" s="416">
        <f t="shared" si="4"/>
        <v>0</v>
      </c>
      <c r="F36" s="425">
        <f>858*1.04</f>
        <v>892.32</v>
      </c>
      <c r="G36" s="418">
        <v>105</v>
      </c>
      <c r="H36" s="418">
        <v>9</v>
      </c>
      <c r="I36" s="418">
        <f t="shared" si="8"/>
        <v>14.22</v>
      </c>
      <c r="J36" s="418">
        <f t="shared" si="9"/>
        <v>11.4</v>
      </c>
      <c r="K36" s="418">
        <v>15</v>
      </c>
      <c r="L36" s="419">
        <f t="shared" si="10"/>
        <v>1046.94</v>
      </c>
      <c r="M36" s="418">
        <f t="shared" si="5"/>
        <v>0</v>
      </c>
      <c r="N36" s="420">
        <f t="shared" si="6"/>
        <v>0</v>
      </c>
      <c r="O36" s="421">
        <f t="shared" si="7"/>
        <v>0</v>
      </c>
    </row>
    <row r="37" spans="1:15" ht="21" hidden="1" thickBot="1" x14ac:dyDescent="0.35">
      <c r="A37" s="483" t="s">
        <v>139</v>
      </c>
      <c r="B37" s="413">
        <f>[1]Volumes!E11-[1]Volumes!I11</f>
        <v>0</v>
      </c>
      <c r="C37" s="414">
        <f t="shared" si="3"/>
        <v>0</v>
      </c>
      <c r="D37" s="424">
        <v>1183.432</v>
      </c>
      <c r="E37" s="416">
        <f t="shared" si="4"/>
        <v>0</v>
      </c>
      <c r="F37" s="425">
        <f>858*1.04</f>
        <v>892.32</v>
      </c>
      <c r="G37" s="418">
        <v>105</v>
      </c>
      <c r="H37" s="418">
        <v>9</v>
      </c>
      <c r="I37" s="418">
        <f t="shared" si="8"/>
        <v>14.22</v>
      </c>
      <c r="J37" s="418">
        <f t="shared" si="9"/>
        <v>11.4</v>
      </c>
      <c r="K37" s="418">
        <v>15</v>
      </c>
      <c r="L37" s="419">
        <f t="shared" si="10"/>
        <v>1046.94</v>
      </c>
      <c r="M37" s="418">
        <f t="shared" si="5"/>
        <v>0</v>
      </c>
      <c r="N37" s="420">
        <f t="shared" si="6"/>
        <v>0</v>
      </c>
      <c r="O37" s="421">
        <f t="shared" si="7"/>
        <v>0</v>
      </c>
    </row>
    <row r="38" spans="1:15" ht="21" hidden="1" thickBot="1" x14ac:dyDescent="0.35">
      <c r="A38" s="483" t="s">
        <v>140</v>
      </c>
      <c r="B38" s="413">
        <f>[1]Volumes!E12-[1]Volumes!I12</f>
        <v>0</v>
      </c>
      <c r="C38" s="414">
        <f t="shared" si="3"/>
        <v>0</v>
      </c>
      <c r="D38" s="429">
        <v>1241</v>
      </c>
      <c r="E38" s="416">
        <f t="shared" si="4"/>
        <v>0</v>
      </c>
      <c r="F38" s="425">
        <f>858*1.04</f>
        <v>892.32</v>
      </c>
      <c r="G38" s="418">
        <v>105</v>
      </c>
      <c r="H38" s="418">
        <v>9</v>
      </c>
      <c r="I38" s="418">
        <f t="shared" si="8"/>
        <v>14.22</v>
      </c>
      <c r="J38" s="418">
        <f t="shared" si="9"/>
        <v>11.4</v>
      </c>
      <c r="K38" s="418">
        <v>15</v>
      </c>
      <c r="L38" s="419">
        <f t="shared" si="10"/>
        <v>154.62</v>
      </c>
      <c r="M38" s="435"/>
      <c r="N38" s="420">
        <f t="shared" si="6"/>
        <v>0</v>
      </c>
      <c r="O38" s="421">
        <f t="shared" si="7"/>
        <v>0</v>
      </c>
    </row>
    <row r="39" spans="1:15" ht="21" hidden="1" thickBot="1" x14ac:dyDescent="0.35">
      <c r="A39" s="484" t="s">
        <v>141</v>
      </c>
      <c r="B39" s="413">
        <f>[1]Volumes!E13-[1]Volumes!I13</f>
        <v>0</v>
      </c>
      <c r="C39" s="431">
        <f>12*B39</f>
        <v>0</v>
      </c>
      <c r="D39" s="432"/>
      <c r="E39" s="433"/>
      <c r="F39" s="434"/>
      <c r="G39" s="435"/>
      <c r="H39" s="435"/>
      <c r="I39" s="435"/>
      <c r="J39" s="435"/>
      <c r="K39" s="435"/>
      <c r="L39" s="485"/>
      <c r="M39" s="435"/>
      <c r="N39" s="436"/>
      <c r="O39" s="437"/>
    </row>
    <row r="40" spans="1:15" ht="26.25" hidden="1" thickBot="1" x14ac:dyDescent="0.4">
      <c r="A40" s="486" t="s">
        <v>142</v>
      </c>
      <c r="B40" s="439">
        <v>0</v>
      </c>
      <c r="C40" s="440">
        <f>SUM(C32:C39)-C39</f>
        <v>0</v>
      </c>
      <c r="D40" s="441"/>
      <c r="E40" s="442"/>
      <c r="F40" s="443"/>
      <c r="G40" s="435"/>
      <c r="H40" s="435"/>
      <c r="I40" s="435"/>
      <c r="J40" s="435"/>
      <c r="K40" s="435"/>
      <c r="L40" s="485"/>
      <c r="M40" s="444">
        <f>SUM(M32:M39)</f>
        <v>0</v>
      </c>
      <c r="N40" s="445">
        <f>SUM(N32:N39)</f>
        <v>0</v>
      </c>
      <c r="O40" s="446">
        <f>SUM(O32:O39)</f>
        <v>0</v>
      </c>
    </row>
    <row r="41" spans="1:15" ht="21" hidden="1" thickBot="1" x14ac:dyDescent="0.35">
      <c r="A41" s="483" t="s">
        <v>143</v>
      </c>
      <c r="B41" s="413">
        <f>[1]Volumes!E15-[1]Volumes!I15</f>
        <v>0</v>
      </c>
      <c r="C41" s="414">
        <f>B41/3</f>
        <v>0</v>
      </c>
      <c r="D41" s="429">
        <v>1000</v>
      </c>
      <c r="E41" s="416">
        <f>C41/D41</f>
        <v>0</v>
      </c>
      <c r="F41" s="448">
        <f>827*1.04</f>
        <v>860.08</v>
      </c>
      <c r="G41" s="418">
        <v>105</v>
      </c>
      <c r="H41" s="449">
        <v>9</v>
      </c>
      <c r="I41" s="418">
        <f t="shared" si="8"/>
        <v>14.22</v>
      </c>
      <c r="J41" s="418">
        <f t="shared" si="9"/>
        <v>11.4</v>
      </c>
      <c r="K41" s="418">
        <v>15</v>
      </c>
      <c r="L41" s="419">
        <f>F42+G41+H41+I41+J41+K41</f>
        <v>154.62</v>
      </c>
      <c r="M41" s="418">
        <f>E41*F42</f>
        <v>0</v>
      </c>
      <c r="N41" s="420">
        <f>E41*3*L41</f>
        <v>0</v>
      </c>
      <c r="O41" s="421">
        <f>E41*L41/3</f>
        <v>0</v>
      </c>
    </row>
    <row r="42" spans="1:15" ht="26.25" hidden="1" x14ac:dyDescent="0.4">
      <c r="A42" s="174"/>
      <c r="B42" s="174"/>
      <c r="C42" s="174"/>
      <c r="D42" s="174"/>
      <c r="E42" s="174"/>
      <c r="F42" s="450"/>
      <c r="G42" s="174"/>
      <c r="H42" s="174"/>
      <c r="I42" s="174"/>
      <c r="J42" s="174"/>
      <c r="K42" s="174"/>
      <c r="L42" s="174"/>
      <c r="M42" s="174"/>
      <c r="N42" s="451">
        <f>SUM(N40:N41)</f>
        <v>0</v>
      </c>
      <c r="O42" s="451">
        <f>SUM(O40:O41)</f>
        <v>0</v>
      </c>
    </row>
    <row r="43" spans="1:15" ht="21" hidden="1" x14ac:dyDescent="0.35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452" t="s">
        <v>262</v>
      </c>
      <c r="O43" s="452" t="s">
        <v>248</v>
      </c>
    </row>
    <row r="44" spans="1:15" ht="26.25" hidden="1" x14ac:dyDescent="0.4">
      <c r="A44" s="453" t="s">
        <v>263</v>
      </c>
      <c r="B44" s="453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456" t="s">
        <v>264</v>
      </c>
      <c r="N44" s="457">
        <f>N42*14.5</f>
        <v>0</v>
      </c>
      <c r="O44" s="458">
        <f>O42*14.5</f>
        <v>0</v>
      </c>
    </row>
    <row r="45" spans="1:15" hidden="1" x14ac:dyDescent="0.25"/>
    <row r="46" spans="1:15" hidden="1" x14ac:dyDescent="0.25"/>
    <row r="47" spans="1:15" hidden="1" x14ac:dyDescent="0.25"/>
    <row r="48" spans="1:15" hidden="1" x14ac:dyDescent="0.25"/>
    <row r="49" spans="1:15" hidden="1" x14ac:dyDescent="0.25"/>
    <row r="50" spans="1:15" hidden="1" x14ac:dyDescent="0.25"/>
    <row r="51" spans="1:15" hidden="1" x14ac:dyDescent="0.25"/>
    <row r="52" spans="1:15" hidden="1" x14ac:dyDescent="0.25"/>
    <row r="53" spans="1:15" hidden="1" x14ac:dyDescent="0.25"/>
    <row r="54" spans="1:15" hidden="1" x14ac:dyDescent="0.25"/>
    <row r="55" spans="1:15" hidden="1" x14ac:dyDescent="0.25"/>
    <row r="56" spans="1:15" hidden="1" x14ac:dyDescent="0.25"/>
    <row r="57" spans="1:15" hidden="1" x14ac:dyDescent="0.25"/>
    <row r="58" spans="1:15" hidden="1" x14ac:dyDescent="0.25"/>
    <row r="59" spans="1:15" x14ac:dyDescent="0.25">
      <c r="N59" s="37">
        <v>785394935.34000003</v>
      </c>
      <c r="O59" s="487"/>
    </row>
    <row r="60" spans="1:15" ht="21" x14ac:dyDescent="0.35">
      <c r="A60" s="488" t="s">
        <v>279</v>
      </c>
      <c r="B60" s="259" t="s">
        <v>169</v>
      </c>
      <c r="C60" s="259" t="s">
        <v>170</v>
      </c>
      <c r="D60" s="259" t="s">
        <v>171</v>
      </c>
      <c r="E60" s="259" t="s">
        <v>172</v>
      </c>
    </row>
    <row r="61" spans="1:15" ht="21" x14ac:dyDescent="0.35">
      <c r="A61" s="257" t="s">
        <v>160</v>
      </c>
      <c r="B61" s="263">
        <f>Purchases!D6</f>
        <v>0</v>
      </c>
      <c r="C61" s="263">
        <f t="shared" ref="C61:E68" si="11">B61</f>
        <v>0</v>
      </c>
      <c r="D61" s="263">
        <f t="shared" si="11"/>
        <v>0</v>
      </c>
      <c r="E61" s="263">
        <f t="shared" si="11"/>
        <v>0</v>
      </c>
    </row>
    <row r="62" spans="1:15" ht="21" x14ac:dyDescent="0.35">
      <c r="A62" s="257" t="s">
        <v>161</v>
      </c>
      <c r="B62" s="263">
        <f>Purchases!D7</f>
        <v>0</v>
      </c>
      <c r="C62" s="263">
        <f t="shared" si="11"/>
        <v>0</v>
      </c>
      <c r="D62" s="263">
        <f t="shared" si="11"/>
        <v>0</v>
      </c>
      <c r="E62" s="263">
        <f t="shared" si="11"/>
        <v>0</v>
      </c>
    </row>
    <row r="63" spans="1:15" ht="21" x14ac:dyDescent="0.35">
      <c r="A63" s="257" t="s">
        <v>162</v>
      </c>
      <c r="B63" s="263">
        <f>Purchases!D8</f>
        <v>0</v>
      </c>
      <c r="C63" s="263">
        <f t="shared" si="11"/>
        <v>0</v>
      </c>
      <c r="D63" s="263">
        <f t="shared" si="11"/>
        <v>0</v>
      </c>
      <c r="E63" s="263">
        <f t="shared" si="11"/>
        <v>0</v>
      </c>
    </row>
    <row r="64" spans="1:15" ht="21" x14ac:dyDescent="0.35">
      <c r="A64" s="257" t="s">
        <v>163</v>
      </c>
      <c r="B64" s="263">
        <f>Purchases!D9</f>
        <v>0</v>
      </c>
      <c r="C64" s="263">
        <f t="shared" si="11"/>
        <v>0</v>
      </c>
      <c r="D64" s="263">
        <f t="shared" si="11"/>
        <v>0</v>
      </c>
      <c r="E64" s="263">
        <f t="shared" si="11"/>
        <v>0</v>
      </c>
    </row>
    <row r="65" spans="1:5" ht="21" x14ac:dyDescent="0.35">
      <c r="A65" s="257" t="s">
        <v>164</v>
      </c>
      <c r="B65" s="263">
        <f>Purchases!D10</f>
        <v>0</v>
      </c>
      <c r="C65" s="263">
        <f t="shared" si="11"/>
        <v>0</v>
      </c>
      <c r="D65" s="263">
        <f t="shared" si="11"/>
        <v>0</v>
      </c>
      <c r="E65" s="263">
        <f t="shared" si="11"/>
        <v>0</v>
      </c>
    </row>
    <row r="66" spans="1:5" ht="21" x14ac:dyDescent="0.35">
      <c r="A66" s="257" t="s">
        <v>165</v>
      </c>
      <c r="B66" s="263">
        <f>Purchases!D11</f>
        <v>0</v>
      </c>
      <c r="C66" s="263">
        <f t="shared" si="11"/>
        <v>0</v>
      </c>
      <c r="D66" s="263">
        <f t="shared" si="11"/>
        <v>0</v>
      </c>
      <c r="E66" s="263">
        <f t="shared" si="11"/>
        <v>0</v>
      </c>
    </row>
    <row r="67" spans="1:5" ht="21" x14ac:dyDescent="0.35">
      <c r="A67" s="257" t="s">
        <v>166</v>
      </c>
      <c r="B67" s="263">
        <f>Purchases!D12</f>
        <v>0</v>
      </c>
      <c r="C67" s="263">
        <f t="shared" si="11"/>
        <v>0</v>
      </c>
      <c r="D67" s="263">
        <f t="shared" si="11"/>
        <v>0</v>
      </c>
      <c r="E67" s="263">
        <f t="shared" si="11"/>
        <v>0</v>
      </c>
    </row>
    <row r="68" spans="1:5" ht="21" x14ac:dyDescent="0.35">
      <c r="A68" s="257" t="s">
        <v>167</v>
      </c>
      <c r="B68" s="263">
        <f>Purchases!D15</f>
        <v>0</v>
      </c>
      <c r="C68" s="263">
        <f t="shared" si="11"/>
        <v>0</v>
      </c>
      <c r="D68" s="263">
        <f t="shared" si="11"/>
        <v>0</v>
      </c>
      <c r="E68" s="263">
        <f t="shared" si="11"/>
        <v>0</v>
      </c>
    </row>
    <row r="69" spans="1:5" x14ac:dyDescent="0.25">
      <c r="A69" s="489"/>
      <c r="B69" s="489"/>
      <c r="C69" s="489"/>
      <c r="D69" s="489"/>
      <c r="E69" s="489"/>
    </row>
    <row r="70" spans="1:5" x14ac:dyDescent="0.25">
      <c r="A70" s="489"/>
      <c r="B70" s="489"/>
      <c r="C70" s="489"/>
      <c r="D70" s="489"/>
      <c r="E70" s="489"/>
    </row>
    <row r="71" spans="1:5" ht="21" x14ac:dyDescent="0.35">
      <c r="A71" s="488" t="s">
        <v>258</v>
      </c>
      <c r="B71" s="259" t="s">
        <v>169</v>
      </c>
      <c r="C71" s="259" t="s">
        <v>170</v>
      </c>
      <c r="D71" s="259" t="s">
        <v>171</v>
      </c>
      <c r="E71" s="259" t="s">
        <v>172</v>
      </c>
    </row>
    <row r="72" spans="1:5" ht="21" x14ac:dyDescent="0.35">
      <c r="A72" s="257" t="s">
        <v>160</v>
      </c>
      <c r="B72" s="263">
        <f>Purchases!L6</f>
        <v>0</v>
      </c>
      <c r="C72" s="263">
        <f t="shared" ref="C72:E79" si="12">B72</f>
        <v>0</v>
      </c>
      <c r="D72" s="263">
        <f t="shared" si="12"/>
        <v>0</v>
      </c>
      <c r="E72" s="263">
        <f t="shared" si="12"/>
        <v>0</v>
      </c>
    </row>
    <row r="73" spans="1:5" ht="21" x14ac:dyDescent="0.35">
      <c r="A73" s="257" t="s">
        <v>161</v>
      </c>
      <c r="B73" s="263">
        <f>Purchases!L7</f>
        <v>0</v>
      </c>
      <c r="C73" s="263">
        <f t="shared" si="12"/>
        <v>0</v>
      </c>
      <c r="D73" s="263">
        <f t="shared" si="12"/>
        <v>0</v>
      </c>
      <c r="E73" s="263">
        <f t="shared" si="12"/>
        <v>0</v>
      </c>
    </row>
    <row r="74" spans="1:5" ht="21" x14ac:dyDescent="0.35">
      <c r="A74" s="257" t="s">
        <v>162</v>
      </c>
      <c r="B74" s="263">
        <f>Purchases!L8</f>
        <v>0</v>
      </c>
      <c r="C74" s="263">
        <f t="shared" si="12"/>
        <v>0</v>
      </c>
      <c r="D74" s="263">
        <f t="shared" si="12"/>
        <v>0</v>
      </c>
      <c r="E74" s="263">
        <f t="shared" si="12"/>
        <v>0</v>
      </c>
    </row>
    <row r="75" spans="1:5" ht="21" x14ac:dyDescent="0.35">
      <c r="A75" s="257" t="s">
        <v>163</v>
      </c>
      <c r="B75" s="263">
        <f>Purchases!L9</f>
        <v>0</v>
      </c>
      <c r="C75" s="263">
        <f t="shared" si="12"/>
        <v>0</v>
      </c>
      <c r="D75" s="263">
        <f t="shared" si="12"/>
        <v>0</v>
      </c>
      <c r="E75" s="263">
        <f t="shared" si="12"/>
        <v>0</v>
      </c>
    </row>
    <row r="76" spans="1:5" ht="21" x14ac:dyDescent="0.35">
      <c r="A76" s="257" t="s">
        <v>164</v>
      </c>
      <c r="B76" s="263">
        <f>Purchases!L10</f>
        <v>0</v>
      </c>
      <c r="C76" s="263">
        <f t="shared" si="12"/>
        <v>0</v>
      </c>
      <c r="D76" s="263">
        <f t="shared" si="12"/>
        <v>0</v>
      </c>
      <c r="E76" s="263">
        <f t="shared" si="12"/>
        <v>0</v>
      </c>
    </row>
    <row r="77" spans="1:5" ht="21" x14ac:dyDescent="0.35">
      <c r="A77" s="257" t="s">
        <v>165</v>
      </c>
      <c r="B77" s="263">
        <f>Purchases!L11</f>
        <v>0</v>
      </c>
      <c r="C77" s="263">
        <f t="shared" si="12"/>
        <v>0</v>
      </c>
      <c r="D77" s="263">
        <f t="shared" si="12"/>
        <v>0</v>
      </c>
      <c r="E77" s="263">
        <f t="shared" si="12"/>
        <v>0</v>
      </c>
    </row>
    <row r="78" spans="1:5" ht="21" x14ac:dyDescent="0.35">
      <c r="A78" s="257" t="s">
        <v>166</v>
      </c>
      <c r="B78" s="263">
        <f>Purchases!L12</f>
        <v>0</v>
      </c>
      <c r="C78" s="263">
        <f t="shared" si="12"/>
        <v>0</v>
      </c>
      <c r="D78" s="263">
        <f t="shared" si="12"/>
        <v>0</v>
      </c>
      <c r="E78" s="263">
        <f t="shared" si="12"/>
        <v>0</v>
      </c>
    </row>
    <row r="79" spans="1:5" ht="21" x14ac:dyDescent="0.35">
      <c r="A79" s="257" t="s">
        <v>167</v>
      </c>
      <c r="B79" s="263">
        <f>Purchases!L15</f>
        <v>0</v>
      </c>
      <c r="C79" s="263">
        <f t="shared" si="12"/>
        <v>0</v>
      </c>
      <c r="D79" s="263">
        <f t="shared" si="12"/>
        <v>0</v>
      </c>
      <c r="E79" s="263">
        <f t="shared" si="12"/>
        <v>0</v>
      </c>
    </row>
    <row r="80" spans="1:5" x14ac:dyDescent="0.25">
      <c r="A80" s="489"/>
      <c r="B80" s="489"/>
      <c r="C80" s="489"/>
      <c r="D80" s="489"/>
      <c r="E80" s="489"/>
    </row>
    <row r="81" spans="1:5" ht="21" x14ac:dyDescent="0.35">
      <c r="A81" s="257" t="s">
        <v>280</v>
      </c>
      <c r="B81" s="490">
        <v>14.5</v>
      </c>
      <c r="C81" s="491"/>
      <c r="D81" s="491"/>
      <c r="E81" s="491"/>
    </row>
    <row r="82" spans="1:5" x14ac:dyDescent="0.25">
      <c r="A82" s="489"/>
      <c r="B82" s="489"/>
      <c r="C82" s="489"/>
      <c r="D82" s="489"/>
      <c r="E82" s="489"/>
    </row>
    <row r="83" spans="1:5" ht="21" x14ac:dyDescent="0.35">
      <c r="A83" s="488" t="s">
        <v>281</v>
      </c>
      <c r="B83" s="259" t="s">
        <v>169</v>
      </c>
      <c r="C83" s="259" t="s">
        <v>170</v>
      </c>
      <c r="D83" s="259" t="s">
        <v>171</v>
      </c>
      <c r="E83" s="259" t="s">
        <v>172</v>
      </c>
    </row>
    <row r="84" spans="1:5" ht="21" x14ac:dyDescent="0.35">
      <c r="A84" s="257" t="s">
        <v>160</v>
      </c>
      <c r="B84" s="263" t="e">
        <f>[1]Volumes!C53/B61*B72*$B$81</f>
        <v>#DIV/0!</v>
      </c>
      <c r="C84" s="263" t="e">
        <f>[1]Volumes!D53/C61*C72*$B$81</f>
        <v>#DIV/0!</v>
      </c>
      <c r="D84" s="263" t="e">
        <f>[1]Volumes!E53/D61*D72*$B$81</f>
        <v>#DIV/0!</v>
      </c>
      <c r="E84" s="263" t="e">
        <f>[1]Volumes!F53/E61*E72*$B$81</f>
        <v>#DIV/0!</v>
      </c>
    </row>
    <row r="85" spans="1:5" ht="21" x14ac:dyDescent="0.35">
      <c r="A85" s="257" t="s">
        <v>161</v>
      </c>
      <c r="B85" s="263" t="e">
        <f>[1]Volumes!C54/B62*B73*$B$81</f>
        <v>#DIV/0!</v>
      </c>
      <c r="C85" s="263" t="e">
        <f>[1]Volumes!D54/C62*C73*$B$81</f>
        <v>#DIV/0!</v>
      </c>
      <c r="D85" s="263" t="e">
        <f>[1]Volumes!E54/D62*D73*$B$81</f>
        <v>#DIV/0!</v>
      </c>
      <c r="E85" s="263" t="e">
        <f>[1]Volumes!F54/E62*E73*$B$81</f>
        <v>#DIV/0!</v>
      </c>
    </row>
    <row r="86" spans="1:5" ht="21" x14ac:dyDescent="0.35">
      <c r="A86" s="257" t="s">
        <v>162</v>
      </c>
      <c r="B86" s="263" t="e">
        <f>[1]Volumes!C55/B63*B74*$B$81</f>
        <v>#DIV/0!</v>
      </c>
      <c r="C86" s="263" t="e">
        <f>[1]Volumes!D55/C63*C74*$B$81</f>
        <v>#DIV/0!</v>
      </c>
      <c r="D86" s="263" t="e">
        <f>[1]Volumes!E55/D63*D74*$B$81</f>
        <v>#DIV/0!</v>
      </c>
      <c r="E86" s="263" t="e">
        <f>[1]Volumes!F55/E63*E74*$B$81</f>
        <v>#DIV/0!</v>
      </c>
    </row>
    <row r="87" spans="1:5" ht="21" x14ac:dyDescent="0.35">
      <c r="A87" s="257" t="s">
        <v>163</v>
      </c>
      <c r="B87" s="263" t="e">
        <f>[1]Volumes!C56/B64*B75*$B$81</f>
        <v>#DIV/0!</v>
      </c>
      <c r="C87" s="263" t="e">
        <f>[1]Volumes!D56/C64*C75*$B$81</f>
        <v>#DIV/0!</v>
      </c>
      <c r="D87" s="263" t="e">
        <f>[1]Volumes!E56/D64*D75*$B$81</f>
        <v>#DIV/0!</v>
      </c>
      <c r="E87" s="263" t="e">
        <f>[1]Volumes!F56/E64*E75*$B$81</f>
        <v>#DIV/0!</v>
      </c>
    </row>
    <row r="88" spans="1:5" ht="21" x14ac:dyDescent="0.35">
      <c r="A88" s="257" t="s">
        <v>164</v>
      </c>
      <c r="B88" s="263" t="e">
        <f>[1]Volumes!C57/B65*B76*$B$81</f>
        <v>#DIV/0!</v>
      </c>
      <c r="C88" s="263" t="e">
        <f>[1]Volumes!D57/C65*C76*$B$81</f>
        <v>#DIV/0!</v>
      </c>
      <c r="D88" s="263" t="e">
        <f>[1]Volumes!E57/D65*D76*$B$81</f>
        <v>#DIV/0!</v>
      </c>
      <c r="E88" s="263" t="e">
        <f>[1]Volumes!F57/E65*E76*$B$81</f>
        <v>#DIV/0!</v>
      </c>
    </row>
    <row r="89" spans="1:5" ht="21" x14ac:dyDescent="0.35">
      <c r="A89" s="257" t="s">
        <v>165</v>
      </c>
      <c r="B89" s="263" t="e">
        <f>[1]Volumes!C58/B66*B77*$B$81</f>
        <v>#DIV/0!</v>
      </c>
      <c r="C89" s="263" t="e">
        <f>[1]Volumes!D58/C66*C77*$B$81</f>
        <v>#DIV/0!</v>
      </c>
      <c r="D89" s="263" t="e">
        <f>[1]Volumes!E58/D66*D77*$B$81</f>
        <v>#DIV/0!</v>
      </c>
      <c r="E89" s="263" t="e">
        <f>[1]Volumes!F58/E66*E77*$B$81</f>
        <v>#DIV/0!</v>
      </c>
    </row>
    <row r="90" spans="1:5" ht="21" x14ac:dyDescent="0.35">
      <c r="A90" s="257" t="s">
        <v>166</v>
      </c>
      <c r="B90" s="263" t="e">
        <f>[1]Volumes!C59/B67*B78*$B$81</f>
        <v>#DIV/0!</v>
      </c>
      <c r="C90" s="263" t="e">
        <f>[1]Volumes!D59/C67*C78*$B$81</f>
        <v>#DIV/0!</v>
      </c>
      <c r="D90" s="263" t="e">
        <f>[1]Volumes!E59/D67*D78*$B$81</f>
        <v>#DIV/0!</v>
      </c>
      <c r="E90" s="263" t="e">
        <f>[1]Volumes!F59/E67*E78*$B$81</f>
        <v>#DIV/0!</v>
      </c>
    </row>
    <row r="91" spans="1:5" ht="21" x14ac:dyDescent="0.35">
      <c r="A91" s="257" t="s">
        <v>167</v>
      </c>
      <c r="B91" s="263" t="e">
        <f>[1]Volumes!C60/B68*B79*$B$81</f>
        <v>#DIV/0!</v>
      </c>
      <c r="C91" s="263" t="e">
        <f>[1]Volumes!D60/C68*C79*$B$81</f>
        <v>#DIV/0!</v>
      </c>
      <c r="D91" s="263" t="e">
        <f>[1]Volumes!E60/D68*D79*$B$81</f>
        <v>#DIV/0!</v>
      </c>
      <c r="E91" s="263" t="e">
        <f>[1]Volumes!F60/E68*E79*$B$81</f>
        <v>#DIV/0!</v>
      </c>
    </row>
    <row r="92" spans="1:5" ht="21" x14ac:dyDescent="0.35">
      <c r="A92" s="488" t="s">
        <v>282</v>
      </c>
      <c r="B92" s="265" t="e">
        <f>SUM(B84:B91)</f>
        <v>#DIV/0!</v>
      </c>
      <c r="C92" s="265" t="e">
        <f>SUM(C84:C91)</f>
        <v>#DIV/0!</v>
      </c>
      <c r="D92" s="265" t="e">
        <f>SUM(D84:D91)</f>
        <v>#DIV/0!</v>
      </c>
      <c r="E92" s="265" t="e">
        <f>SUM(E84:E91)</f>
        <v>#DIV/0!</v>
      </c>
    </row>
  </sheetData>
  <mergeCells count="2">
    <mergeCell ref="A4:N4"/>
    <mergeCell ref="A30:N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Capital and Depn</vt:lpstr>
      <vt:lpstr>Recurrent Expenses</vt:lpstr>
      <vt:lpstr>Volumes</vt:lpstr>
      <vt:lpstr>Dep sche</vt:lpstr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 Oladele</dc:creator>
  <cp:lastModifiedBy>Sunday Oladele</cp:lastModifiedBy>
  <dcterms:created xsi:type="dcterms:W3CDTF">2026-10-14T16:30:35Z</dcterms:created>
  <dcterms:modified xsi:type="dcterms:W3CDTF">2026-10-14T16:34:37Z</dcterms:modified>
</cp:coreProperties>
</file>