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BOOK intel CORE i7 8th GEN\Desktop Items\GOIL UPSTREAM LTD\GROUP CFO\"/>
    </mc:Choice>
  </mc:AlternateContent>
  <xr:revisionPtr revIDLastSave="0" documentId="13_ncr:1_{ED8F4FAD-6C70-42B6-B73E-1579F4D8BD80}" xr6:coauthVersionLast="47" xr6:coauthVersionMax="47" xr10:uidLastSave="{00000000-0000-0000-0000-000000000000}"/>
  <bookViews>
    <workbookView xWindow="-120" yWindow="-120" windowWidth="29040" windowHeight="15720" xr2:uid="{042AFC2C-8309-4DD0-A7F7-C79D2A7BF95E}"/>
  </bookViews>
  <sheets>
    <sheet name="G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6" i="1" l="1"/>
  <c r="I195" i="1"/>
  <c r="I183" i="1"/>
  <c r="I177" i="1"/>
  <c r="I153" i="1"/>
  <c r="G153" i="1"/>
  <c r="I105" i="1"/>
  <c r="I83" i="1"/>
  <c r="I97" i="1"/>
  <c r="I76" i="1"/>
  <c r="F76" i="1"/>
  <c r="H60" i="1"/>
  <c r="I60" i="1"/>
  <c r="I31" i="1"/>
  <c r="G31" i="1"/>
  <c r="G30" i="1" s="1"/>
  <c r="G7" i="1" s="1"/>
  <c r="H39" i="1"/>
  <c r="I39" i="1"/>
  <c r="I30" i="1"/>
  <c r="I7" i="1" s="1"/>
  <c r="F39" i="1"/>
  <c r="H230" i="1"/>
  <c r="J229" i="1"/>
  <c r="G229" i="1"/>
  <c r="F229" i="1"/>
  <c r="E229" i="1"/>
  <c r="H229" i="1" s="1"/>
  <c r="D229" i="1"/>
  <c r="J227" i="1"/>
  <c r="I224" i="1"/>
  <c r="G227" i="1"/>
  <c r="F227" i="1"/>
  <c r="E227" i="1"/>
  <c r="D227" i="1"/>
  <c r="H227" i="1" s="1"/>
  <c r="H226" i="1"/>
  <c r="J225" i="1"/>
  <c r="G225" i="1"/>
  <c r="F225" i="1"/>
  <c r="E225" i="1"/>
  <c r="D225" i="1"/>
  <c r="H225" i="1" s="1"/>
  <c r="J224" i="1"/>
  <c r="G224" i="1"/>
  <c r="F224" i="1"/>
  <c r="E224" i="1"/>
  <c r="D224" i="1"/>
  <c r="H222" i="1"/>
  <c r="J221" i="1"/>
  <c r="I221" i="1"/>
  <c r="G221" i="1"/>
  <c r="F221" i="1"/>
  <c r="E221" i="1"/>
  <c r="D221" i="1"/>
  <c r="H221" i="1" s="1"/>
  <c r="H219" i="1"/>
  <c r="H218" i="1"/>
  <c r="H217" i="1"/>
  <c r="H216" i="1"/>
  <c r="J215" i="1"/>
  <c r="I215" i="1"/>
  <c r="G215" i="1"/>
  <c r="F215" i="1"/>
  <c r="E215" i="1"/>
  <c r="D215" i="1"/>
  <c r="H215" i="1" s="1"/>
  <c r="H213" i="1"/>
  <c r="H212" i="1"/>
  <c r="H211" i="1"/>
  <c r="H210" i="1"/>
  <c r="H209" i="1"/>
  <c r="H208" i="1"/>
  <c r="H207" i="1"/>
  <c r="J206" i="1"/>
  <c r="G206" i="1"/>
  <c r="F206" i="1"/>
  <c r="E206" i="1"/>
  <c r="D206" i="1"/>
  <c r="H204" i="1"/>
  <c r="H203" i="1"/>
  <c r="H202" i="1"/>
  <c r="H201" i="1"/>
  <c r="H200" i="1"/>
  <c r="H199" i="1"/>
  <c r="H198" i="1"/>
  <c r="H197" i="1"/>
  <c r="H196" i="1"/>
  <c r="J195" i="1"/>
  <c r="G195" i="1"/>
  <c r="F195" i="1"/>
  <c r="E195" i="1"/>
  <c r="D195" i="1"/>
  <c r="H195" i="1" s="1"/>
  <c r="H193" i="1"/>
  <c r="H192" i="1"/>
  <c r="H191" i="1"/>
  <c r="H190" i="1"/>
  <c r="H189" i="1"/>
  <c r="H188" i="1"/>
  <c r="H187" i="1"/>
  <c r="H186" i="1"/>
  <c r="H185" i="1"/>
  <c r="H184" i="1"/>
  <c r="J183" i="1"/>
  <c r="G183" i="1"/>
  <c r="F183" i="1"/>
  <c r="E183" i="1"/>
  <c r="D183" i="1"/>
  <c r="H181" i="1"/>
  <c r="H180" i="1"/>
  <c r="H179" i="1"/>
  <c r="H178" i="1"/>
  <c r="J177" i="1"/>
  <c r="G177" i="1"/>
  <c r="F177" i="1"/>
  <c r="E177" i="1"/>
  <c r="D177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J153" i="1"/>
  <c r="F153" i="1"/>
  <c r="E153" i="1"/>
  <c r="D153" i="1"/>
  <c r="H151" i="1"/>
  <c r="H150" i="1"/>
  <c r="H149" i="1"/>
  <c r="H148" i="1"/>
  <c r="H147" i="1"/>
  <c r="H146" i="1"/>
  <c r="H145" i="1"/>
  <c r="J144" i="1"/>
  <c r="I144" i="1"/>
  <c r="G144" i="1"/>
  <c r="F144" i="1"/>
  <c r="E144" i="1"/>
  <c r="D144" i="1"/>
  <c r="H144" i="1" s="1"/>
  <c r="H142" i="1"/>
  <c r="H141" i="1"/>
  <c r="H140" i="1"/>
  <c r="H139" i="1"/>
  <c r="H138" i="1"/>
  <c r="H137" i="1"/>
  <c r="J136" i="1"/>
  <c r="I136" i="1"/>
  <c r="G136" i="1"/>
  <c r="F136" i="1"/>
  <c r="E136" i="1"/>
  <c r="D136" i="1"/>
  <c r="H136" i="1" s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J105" i="1"/>
  <c r="G105" i="1"/>
  <c r="F105" i="1"/>
  <c r="E105" i="1"/>
  <c r="D105" i="1"/>
  <c r="H105" i="1" s="1"/>
  <c r="H103" i="1"/>
  <c r="H102" i="1"/>
  <c r="H101" i="1"/>
  <c r="H100" i="1"/>
  <c r="H99" i="1"/>
  <c r="H98" i="1"/>
  <c r="J97" i="1"/>
  <c r="G97" i="1"/>
  <c r="F97" i="1"/>
  <c r="E97" i="1"/>
  <c r="D97" i="1"/>
  <c r="H97" i="1" s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J83" i="1"/>
  <c r="G83" i="1"/>
  <c r="F83" i="1"/>
  <c r="E83" i="1"/>
  <c r="D83" i="1"/>
  <c r="H82" i="1"/>
  <c r="H81" i="1"/>
  <c r="H80" i="1"/>
  <c r="H79" i="1"/>
  <c r="H78" i="1"/>
  <c r="H77" i="1"/>
  <c r="J76" i="1"/>
  <c r="J54" i="1" s="1"/>
  <c r="J53" i="1" s="1"/>
  <c r="G76" i="1"/>
  <c r="E76" i="1"/>
  <c r="D76" i="1"/>
  <c r="H75" i="1"/>
  <c r="G60" i="1"/>
  <c r="G54" i="1" s="1"/>
  <c r="F60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J60" i="1"/>
  <c r="D60" i="1"/>
  <c r="H59" i="1"/>
  <c r="H58" i="1"/>
  <c r="H57" i="1"/>
  <c r="H56" i="1"/>
  <c r="J55" i="1"/>
  <c r="I55" i="1"/>
  <c r="G55" i="1"/>
  <c r="F55" i="1"/>
  <c r="E55" i="1"/>
  <c r="D55" i="1"/>
  <c r="H51" i="1"/>
  <c r="H50" i="1"/>
  <c r="H49" i="1"/>
  <c r="H48" i="1"/>
  <c r="H47" i="1"/>
  <c r="H46" i="1"/>
  <c r="H45" i="1"/>
  <c r="J44" i="1"/>
  <c r="I44" i="1"/>
  <c r="H44" i="1"/>
  <c r="H43" i="1"/>
  <c r="H42" i="1"/>
  <c r="J41" i="1"/>
  <c r="G41" i="1"/>
  <c r="F41" i="1"/>
  <c r="E41" i="1"/>
  <c r="D41" i="1"/>
  <c r="H40" i="1"/>
  <c r="J39" i="1"/>
  <c r="G39" i="1"/>
  <c r="E39" i="1"/>
  <c r="D39" i="1"/>
  <c r="H38" i="1"/>
  <c r="H37" i="1"/>
  <c r="H36" i="1"/>
  <c r="H35" i="1"/>
  <c r="H34" i="1"/>
  <c r="H33" i="1"/>
  <c r="H32" i="1"/>
  <c r="J31" i="1"/>
  <c r="F31" i="1"/>
  <c r="E31" i="1"/>
  <c r="E30" i="1" s="1"/>
  <c r="D31" i="1"/>
  <c r="J30" i="1"/>
  <c r="D30" i="1"/>
  <c r="D7" i="1" s="1"/>
  <c r="H27" i="1"/>
  <c r="J26" i="1"/>
  <c r="I26" i="1"/>
  <c r="G26" i="1"/>
  <c r="F26" i="1"/>
  <c r="E26" i="1"/>
  <c r="D26" i="1"/>
  <c r="H26" i="1" s="1"/>
  <c r="H24" i="1"/>
  <c r="H23" i="1"/>
  <c r="H22" i="1"/>
  <c r="H21" i="1"/>
  <c r="H20" i="1"/>
  <c r="J19" i="1"/>
  <c r="I19" i="1"/>
  <c r="G19" i="1"/>
  <c r="F19" i="1"/>
  <c r="E19" i="1"/>
  <c r="D19" i="1"/>
  <c r="H19" i="1" s="1"/>
  <c r="H17" i="1"/>
  <c r="H15" i="1"/>
  <c r="H14" i="1"/>
  <c r="H13" i="1"/>
  <c r="H12" i="1"/>
  <c r="H11" i="1"/>
  <c r="H10" i="1"/>
  <c r="H9" i="1"/>
  <c r="J8" i="1"/>
  <c r="I8" i="1"/>
  <c r="G8" i="1"/>
  <c r="F8" i="1"/>
  <c r="E8" i="1"/>
  <c r="D8" i="1"/>
  <c r="J7" i="1"/>
  <c r="H224" i="1" l="1"/>
  <c r="H206" i="1"/>
  <c r="H183" i="1"/>
  <c r="H177" i="1"/>
  <c r="H153" i="1"/>
  <c r="G53" i="1"/>
  <c r="G231" i="1" s="1"/>
  <c r="H83" i="1"/>
  <c r="I54" i="1"/>
  <c r="I53" i="1" s="1"/>
  <c r="I231" i="1" s="1"/>
  <c r="F54" i="1"/>
  <c r="F53" i="1" s="1"/>
  <c r="F231" i="1" s="1"/>
  <c r="H55" i="1"/>
  <c r="F30" i="1"/>
  <c r="F7" i="1" s="1"/>
  <c r="H41" i="1"/>
  <c r="H31" i="1"/>
  <c r="E7" i="1"/>
  <c r="H7" i="1" s="1"/>
  <c r="H8" i="1"/>
  <c r="D54" i="1"/>
  <c r="H76" i="1"/>
  <c r="E60" i="1"/>
  <c r="H74" i="1"/>
  <c r="J231" i="1"/>
  <c r="H30" i="1"/>
  <c r="D53" i="1" l="1"/>
  <c r="E54" i="1"/>
  <c r="J233" i="1"/>
  <c r="J235" i="1" s="1"/>
  <c r="I233" i="1"/>
  <c r="I235" i="1" s="1"/>
  <c r="G233" i="1"/>
  <c r="G235" i="1" s="1"/>
  <c r="F233" i="1"/>
  <c r="F235" i="1" s="1"/>
  <c r="D231" i="1" l="1"/>
  <c r="E53" i="1"/>
  <c r="H54" i="1"/>
  <c r="E231" i="1" l="1"/>
  <c r="E233" i="1" s="1"/>
  <c r="E235" i="1" s="1"/>
  <c r="H53" i="1"/>
  <c r="H231" i="1" s="1"/>
  <c r="H233" i="1" s="1"/>
  <c r="H235" i="1" s="1"/>
  <c r="D233" i="1"/>
  <c r="D235" i="1" s="1"/>
</calcChain>
</file>

<file path=xl/sharedStrings.xml><?xml version="1.0" encoding="utf-8"?>
<sst xmlns="http://schemas.openxmlformats.org/spreadsheetml/2006/main" count="405" uniqueCount="403">
  <si>
    <t>GUL 5.8824% Paying Interest in DWCTP</t>
  </si>
  <si>
    <t>Quarter 1
$'</t>
  </si>
  <si>
    <t>Quarter 2
$'</t>
  </si>
  <si>
    <t>Quarter 3
$'</t>
  </si>
  <si>
    <t>Quarter 4
$'</t>
  </si>
  <si>
    <t>Total Year Budget
$</t>
  </si>
  <si>
    <t>Total DWCTP Budget $'</t>
  </si>
  <si>
    <t>Contingent Budget
$'</t>
  </si>
  <si>
    <t>GEOLOGICAL &amp; GEOPHYSICAL</t>
  </si>
  <si>
    <t>Geological &amp; Geophysical Studies</t>
  </si>
  <si>
    <t>1.1.1</t>
  </si>
  <si>
    <t>Seismic Data Acquisition &amp; Processing</t>
  </si>
  <si>
    <t>1.1.2</t>
  </si>
  <si>
    <t>Special Studies (G&amp;G Studies)</t>
  </si>
  <si>
    <t>1.1.3</t>
  </si>
  <si>
    <t>Exploration Operations</t>
  </si>
  <si>
    <t>1.1.4</t>
  </si>
  <si>
    <t>Exploration Well Reservoir Engineering Study</t>
  </si>
  <si>
    <t>1.1.5</t>
  </si>
  <si>
    <t>Structural analysis wellhead/tree</t>
  </si>
  <si>
    <t>1.1.6</t>
  </si>
  <si>
    <t>Riser Analyses</t>
  </si>
  <si>
    <t>1.1.7</t>
  </si>
  <si>
    <t>G&amp;G Technical Advisory &amp; Services</t>
  </si>
  <si>
    <t>1.1.8</t>
  </si>
  <si>
    <t>1.1.9</t>
  </si>
  <si>
    <t>Pre-Well Programme</t>
  </si>
  <si>
    <t>Drilling &amp; Testing</t>
  </si>
  <si>
    <t>1.2.1</t>
  </si>
  <si>
    <t>Drilling Preparation</t>
  </si>
  <si>
    <t>1.2.2</t>
  </si>
  <si>
    <t>Permitting</t>
  </si>
  <si>
    <t>1.2.3</t>
  </si>
  <si>
    <t>Mobilisation &amp; Demobilisation</t>
  </si>
  <si>
    <t>1.2.4</t>
  </si>
  <si>
    <t>Well Cost</t>
  </si>
  <si>
    <t>1.2.5</t>
  </si>
  <si>
    <t>Well Test</t>
  </si>
  <si>
    <t>Field Evaluation</t>
  </si>
  <si>
    <t>1.3.1</t>
  </si>
  <si>
    <t>Field Evaluation - Future Developments</t>
  </si>
  <si>
    <t>1.3.2</t>
  </si>
  <si>
    <t>Reserviour Development studies</t>
  </si>
  <si>
    <t>Computers and Software</t>
  </si>
  <si>
    <t>1.4.1</t>
  </si>
  <si>
    <t>SOFTWARE PURCHASE</t>
  </si>
  <si>
    <t>1.4.1.1</t>
  </si>
  <si>
    <t>T-Navigator</t>
  </si>
  <si>
    <t>1.4.1.2</t>
  </si>
  <si>
    <t>Kingdom Geology &amp; Geophysics Licence</t>
  </si>
  <si>
    <t>1.4.1.3</t>
  </si>
  <si>
    <t>Additional Kingdom Geology &amp; Geophysics Licence</t>
  </si>
  <si>
    <t>1.4.1.4</t>
  </si>
  <si>
    <t>IHS Kingdom licence and maintainance (EarthPAK)</t>
  </si>
  <si>
    <t>1.4.1.5</t>
  </si>
  <si>
    <t xml:space="preserve">IHSKingdom Seismic Inversion </t>
  </si>
  <si>
    <t>IHSKingdom AVOPAK</t>
  </si>
  <si>
    <t>IHSKingdom Petrophysics</t>
  </si>
  <si>
    <t>1.4.2</t>
  </si>
  <si>
    <t>HARD WARE PURCHASE</t>
  </si>
  <si>
    <t>1.4.2.1</t>
  </si>
  <si>
    <t xml:space="preserve">Hi End desktop </t>
  </si>
  <si>
    <t>1.4.3</t>
  </si>
  <si>
    <t>CURRENT MAINTENANCE</t>
  </si>
  <si>
    <t>1.4.3.1</t>
  </si>
  <si>
    <t>Server-All Systems  Maintainance and Upgrade &amp; Expansion</t>
  </si>
  <si>
    <t>1.4.3.2</t>
  </si>
  <si>
    <t>IHSKingdom Maintenance</t>
  </si>
  <si>
    <t>1.4.3.3</t>
  </si>
  <si>
    <t>vSphere Licence Renewal 1Y</t>
  </si>
  <si>
    <t>1.4.3.4</t>
  </si>
  <si>
    <t>SLA with Monthly Maintenance</t>
  </si>
  <si>
    <t>1.4.3.5</t>
  </si>
  <si>
    <t>Veeam Data Platform Renewal/Maintenance</t>
  </si>
  <si>
    <t>1.4.3.6</t>
  </si>
  <si>
    <t>HPE/ Renewal - 1yr</t>
  </si>
  <si>
    <t>1.4.3.7</t>
  </si>
  <si>
    <t>Mbal Maintenance</t>
  </si>
  <si>
    <t>1.4.3.8</t>
  </si>
  <si>
    <t>Zebra Data Services</t>
  </si>
  <si>
    <t>1.4.3.9</t>
  </si>
  <si>
    <t>Cisco Hardware support Renewal</t>
  </si>
  <si>
    <t>1.4.3.10</t>
  </si>
  <si>
    <t>VMware Renewal</t>
  </si>
  <si>
    <t>GENERAL &amp; ADMINISTRATIVE</t>
  </si>
  <si>
    <t>Office Costs</t>
  </si>
  <si>
    <t>2.1.1</t>
  </si>
  <si>
    <t>OFFICE RENT</t>
  </si>
  <si>
    <t>2.1.1.1</t>
  </si>
  <si>
    <t>Office Rent</t>
  </si>
  <si>
    <t>2.1.1.2</t>
  </si>
  <si>
    <t>Office Rates</t>
  </si>
  <si>
    <t>2.1.1.5</t>
  </si>
  <si>
    <t>Office - Other costs</t>
  </si>
  <si>
    <t>2.1.1.6</t>
  </si>
  <si>
    <t>Office - Accrued Expenditures</t>
  </si>
  <si>
    <t>2.1.2</t>
  </si>
  <si>
    <t>OFFICE SERVICES</t>
  </si>
  <si>
    <t>2.1.2.1</t>
  </si>
  <si>
    <t>Office Storage</t>
  </si>
  <si>
    <t>2.1.2.2</t>
  </si>
  <si>
    <t>Catering Services</t>
  </si>
  <si>
    <t>2.1.2.3</t>
  </si>
  <si>
    <t>Cleaning</t>
  </si>
  <si>
    <t>2.1.2.4</t>
  </si>
  <si>
    <t>General Administration</t>
  </si>
  <si>
    <t>2.1.2.5</t>
  </si>
  <si>
    <t>Utilities - Electricity</t>
  </si>
  <si>
    <t>2.1.2.6</t>
  </si>
  <si>
    <t>Utilities - Water</t>
  </si>
  <si>
    <t>2.1.2.7</t>
  </si>
  <si>
    <t>Utilities - Heating</t>
  </si>
  <si>
    <t>2.1.2.8</t>
  </si>
  <si>
    <t>Office - Fuel for Internal Consumption (Genset, etc.)</t>
  </si>
  <si>
    <t>2.1.2.9</t>
  </si>
  <si>
    <t>Office Service / Office Facilities / Property Mgt</t>
  </si>
  <si>
    <t>2.1.2.10</t>
  </si>
  <si>
    <t>Data Filing &amp; Management</t>
  </si>
  <si>
    <t>2.1.2.11</t>
  </si>
  <si>
    <t>Sundry Office Costs</t>
  </si>
  <si>
    <t>2.1.2.12</t>
  </si>
  <si>
    <t>Licences and Permits</t>
  </si>
  <si>
    <t>2.1.2.13</t>
  </si>
  <si>
    <t>Office services - Accrued Expe</t>
  </si>
  <si>
    <t>2.1.2.14</t>
  </si>
  <si>
    <t>Office Security</t>
  </si>
  <si>
    <t>2.1.2.15</t>
  </si>
  <si>
    <t>Office - Health and Safety</t>
  </si>
  <si>
    <t>2.1.3</t>
  </si>
  <si>
    <t>EQUIPMENT SUPPLY AND MAINTENANCE</t>
  </si>
  <si>
    <t>2.1.3.1</t>
  </si>
  <si>
    <t>Stationery/Office Supplies</t>
  </si>
  <si>
    <t>2.1.3.2</t>
  </si>
  <si>
    <t>Furniture &amp; Equipment Purchase</t>
  </si>
  <si>
    <t>2.1.3.3</t>
  </si>
  <si>
    <t>Equipment Rentals - Equipment</t>
  </si>
  <si>
    <t>2.1.3.4</t>
  </si>
  <si>
    <t>Office Repairs/Maintenance</t>
  </si>
  <si>
    <t>2.1.3.5</t>
  </si>
  <si>
    <t>Sundry - Residential Repairs</t>
  </si>
  <si>
    <t>2.1.3.6</t>
  </si>
  <si>
    <t>Equipment supply &amp; Maint</t>
  </si>
  <si>
    <t>2.1.4</t>
  </si>
  <si>
    <t>COMPUTER EXPENSES</t>
  </si>
  <si>
    <t>2.1.4.1</t>
  </si>
  <si>
    <t>New Software</t>
  </si>
  <si>
    <t>2.1.4.2</t>
  </si>
  <si>
    <t>Software Maintenance</t>
  </si>
  <si>
    <t>2.1.4.3</t>
  </si>
  <si>
    <t>Software Maintenance - Geoscie</t>
  </si>
  <si>
    <t>2.1.4.4</t>
  </si>
  <si>
    <t>Hardware Maintenance</t>
  </si>
  <si>
    <t>2.1.4.5</t>
  </si>
  <si>
    <t>Systems Support</t>
  </si>
  <si>
    <t>2.1.4.6</t>
  </si>
  <si>
    <t>Data Communication Installatio</t>
  </si>
  <si>
    <t>2.1.4.7</t>
  </si>
  <si>
    <t>Data Communication Charges/Ren</t>
  </si>
  <si>
    <t>2.1.4.8</t>
  </si>
  <si>
    <t>Consumables</t>
  </si>
  <si>
    <t>2.1.4.9</t>
  </si>
  <si>
    <t>Expensed Hardware</t>
  </si>
  <si>
    <t>2.1.4.10</t>
  </si>
  <si>
    <t>Software Operating Lease / Ren</t>
  </si>
  <si>
    <t>2.1.4.11</t>
  </si>
  <si>
    <t>Offsite Storage</t>
  </si>
  <si>
    <t>2.1.4.12</t>
  </si>
  <si>
    <t>Hardware Lease / Rental</t>
  </si>
  <si>
    <t>2.1.4.13</t>
  </si>
  <si>
    <t>New Computer (Workstation, Laptop, Printers &amp; Accessories)</t>
  </si>
  <si>
    <t>2.1.5</t>
  </si>
  <si>
    <t>COMMUNICATION EXPENSE</t>
  </si>
  <si>
    <t>2.1.5.1</t>
  </si>
  <si>
    <t>Telephone - Landline</t>
  </si>
  <si>
    <t>2.1.5.2</t>
  </si>
  <si>
    <t>Facsimile</t>
  </si>
  <si>
    <t>2.1.5.3</t>
  </si>
  <si>
    <r>
      <t>Postage (</t>
    </r>
    <r>
      <rPr>
        <sz val="11"/>
        <color rgb="FF00B050"/>
        <rFont val="Arial"/>
        <family val="2"/>
      </rPr>
      <t>Postage &amp; Telephone</t>
    </r>
    <r>
      <rPr>
        <sz val="11"/>
        <color theme="1"/>
        <rFont val="Arial"/>
        <family val="2"/>
      </rPr>
      <t>)</t>
    </r>
  </si>
  <si>
    <t>2.1.5.4</t>
  </si>
  <si>
    <t>Courier &amp; Delivery Charges</t>
  </si>
  <si>
    <t>2.1.5.5</t>
  </si>
  <si>
    <t>Mobile Telephones</t>
  </si>
  <si>
    <t>2.1.5.6</t>
  </si>
  <si>
    <t>Internet Expenses</t>
  </si>
  <si>
    <t>Staff Costs/ Manpower costs</t>
  </si>
  <si>
    <t>2.2.1</t>
  </si>
  <si>
    <t>Country Director/CEO(Head)</t>
  </si>
  <si>
    <t>2.2.2</t>
  </si>
  <si>
    <t>Business Development Manager</t>
  </si>
  <si>
    <t>2.2.3</t>
  </si>
  <si>
    <t>Finance Manager</t>
  </si>
  <si>
    <t>2.2.4</t>
  </si>
  <si>
    <t>HR Manager</t>
  </si>
  <si>
    <t>2.2.5</t>
  </si>
  <si>
    <t>Procurement Manager</t>
  </si>
  <si>
    <t>2.2.6</t>
  </si>
  <si>
    <t>Operations Manager</t>
  </si>
  <si>
    <t>2.2.7</t>
  </si>
  <si>
    <t xml:space="preserve">Execution Preparation Engineer </t>
  </si>
  <si>
    <t>2.2.8</t>
  </si>
  <si>
    <t>Accounting Advisor</t>
  </si>
  <si>
    <t>2.2.9</t>
  </si>
  <si>
    <t>EHS Advisor</t>
  </si>
  <si>
    <t>2.2.10</t>
  </si>
  <si>
    <t>Legal Manager</t>
  </si>
  <si>
    <t>2.2.11</t>
  </si>
  <si>
    <t>Lead Financial Accountant II</t>
  </si>
  <si>
    <t>2.2.12</t>
  </si>
  <si>
    <t>Lead Treasury  Accountant</t>
  </si>
  <si>
    <t>2.2.13</t>
  </si>
  <si>
    <t>Snr Compliance Officer</t>
  </si>
  <si>
    <t>2.2.14</t>
  </si>
  <si>
    <t>Drilling Coordinator</t>
  </si>
  <si>
    <t>2.2.15</t>
  </si>
  <si>
    <t>Senior Completion Engineer</t>
  </si>
  <si>
    <t>2.2.16</t>
  </si>
  <si>
    <t>Executive Assistant</t>
  </si>
  <si>
    <t>2.2.17</t>
  </si>
  <si>
    <t>Contracts Engineer</t>
  </si>
  <si>
    <t>2.2.18</t>
  </si>
  <si>
    <t>HR Advisor</t>
  </si>
  <si>
    <t>2.2.19</t>
  </si>
  <si>
    <t>Document Controller</t>
  </si>
  <si>
    <t>2.2.20</t>
  </si>
  <si>
    <t>Admin Control</t>
  </si>
  <si>
    <t>2.2.21</t>
  </si>
  <si>
    <t>Accounts Payable Accountant</t>
  </si>
  <si>
    <t>2.2.22</t>
  </si>
  <si>
    <t>PDO Support Analyst</t>
  </si>
  <si>
    <t>2.2.23</t>
  </si>
  <si>
    <t>Local Content Analyst</t>
  </si>
  <si>
    <t>2.2.24</t>
  </si>
  <si>
    <t>Treasury Accounatnt</t>
  </si>
  <si>
    <t>2.2.25</t>
  </si>
  <si>
    <t>IT Analyst</t>
  </si>
  <si>
    <t>2.2.26</t>
  </si>
  <si>
    <t>Facilities Coordinator</t>
  </si>
  <si>
    <t>2.2.27</t>
  </si>
  <si>
    <t>Travel Coordinator</t>
  </si>
  <si>
    <t>2.2.28</t>
  </si>
  <si>
    <t>Logistics Coordinator</t>
  </si>
  <si>
    <t>2.2.29</t>
  </si>
  <si>
    <t>Support Staff (Contract Labour)</t>
  </si>
  <si>
    <t>Block Promotion</t>
  </si>
  <si>
    <t>2.3.1</t>
  </si>
  <si>
    <r>
      <t>Consultants</t>
    </r>
    <r>
      <rPr>
        <sz val="11"/>
        <color rgb="FF00B050"/>
        <rFont val="Arial"/>
        <family val="2"/>
      </rPr>
      <t>(Consultancy &amp; Negotiations)</t>
    </r>
  </si>
  <si>
    <t>2.3.2</t>
  </si>
  <si>
    <t>Public Relations</t>
  </si>
  <si>
    <t>2.3.3</t>
  </si>
  <si>
    <r>
      <t xml:space="preserve">Advertisememt </t>
    </r>
    <r>
      <rPr>
        <sz val="11"/>
        <color rgb="FF00B050"/>
        <rFont val="Arial"/>
        <family val="2"/>
      </rPr>
      <t>(Article Publications)</t>
    </r>
  </si>
  <si>
    <t>2.3.4</t>
  </si>
  <si>
    <t>Direct Marketing</t>
  </si>
  <si>
    <t>2.3.6</t>
  </si>
  <si>
    <t>Stakeholder Engagement</t>
  </si>
  <si>
    <t>2.3.7</t>
  </si>
  <si>
    <t>Business Promotion</t>
  </si>
  <si>
    <t>Corporate Social Responsibility</t>
  </si>
  <si>
    <t>2.4.1</t>
  </si>
  <si>
    <t>Healthcare Support</t>
  </si>
  <si>
    <t>2.4.2</t>
  </si>
  <si>
    <t>Education Support</t>
  </si>
  <si>
    <t>2.4.3</t>
  </si>
  <si>
    <t>Enterprise/Business Development</t>
  </si>
  <si>
    <t>2.4.4</t>
  </si>
  <si>
    <t>Community Engagement Programs</t>
  </si>
  <si>
    <t>2.4.5</t>
  </si>
  <si>
    <t>Street Kids Project</t>
  </si>
  <si>
    <t>2.4.6</t>
  </si>
  <si>
    <t>Shoes Project</t>
  </si>
  <si>
    <t>2.4.7</t>
  </si>
  <si>
    <t>Sponsorships</t>
  </si>
  <si>
    <t>Travel &amp; Entertainment</t>
  </si>
  <si>
    <t>2.5.1</t>
  </si>
  <si>
    <t>Car Hire/Purchase</t>
  </si>
  <si>
    <t>2.5.2</t>
  </si>
  <si>
    <t>Flights</t>
  </si>
  <si>
    <t>2.5.3</t>
  </si>
  <si>
    <t>Hotels &amp; Subsistence</t>
  </si>
  <si>
    <t>2.5.4</t>
  </si>
  <si>
    <t>Taxi/Rail &amp; Parking</t>
  </si>
  <si>
    <t>2.5.5</t>
  </si>
  <si>
    <t>Company Vehicle Maintenance</t>
  </si>
  <si>
    <t>2.5.6</t>
  </si>
  <si>
    <t>Motor Repairs</t>
  </si>
  <si>
    <t>2.5.7</t>
  </si>
  <si>
    <t>Car Expenses - Miscellaneous (Tranportation)</t>
  </si>
  <si>
    <t>2.5.8</t>
  </si>
  <si>
    <t>Lease Costs - Monthly Charge</t>
  </si>
  <si>
    <t>2.5.9</t>
  </si>
  <si>
    <t>Lease Costs - Replacements</t>
  </si>
  <si>
    <t>2.5.10</t>
  </si>
  <si>
    <t>Staff Sports and Social Club E</t>
  </si>
  <si>
    <t>2.5.11</t>
  </si>
  <si>
    <t>Travel Visa Costs</t>
  </si>
  <si>
    <t>2.5.12</t>
  </si>
  <si>
    <t>business trip incidentals</t>
  </si>
  <si>
    <t>2.5.13</t>
  </si>
  <si>
    <t>Entertainment - Overseas - Sta</t>
  </si>
  <si>
    <t>2.5.14</t>
  </si>
  <si>
    <t>Flights - Overseas (Hotel, Flight &amp; Related Exp)</t>
  </si>
  <si>
    <t>2.5.15</t>
  </si>
  <si>
    <t>Hotels &amp; Subsistence - Oversea</t>
  </si>
  <si>
    <t>2.5.16</t>
  </si>
  <si>
    <t>Taxi/Rail &amp; Parking  - Oversea</t>
  </si>
  <si>
    <t>2.5.17</t>
  </si>
  <si>
    <t>Overseas business trip inciden</t>
  </si>
  <si>
    <t>2.5.18</t>
  </si>
  <si>
    <t>Entertainment - Overseas - Bus</t>
  </si>
  <si>
    <t>2.5.19</t>
  </si>
  <si>
    <t>Flights - Training</t>
  </si>
  <si>
    <t>2.5.20</t>
  </si>
  <si>
    <t>Hotels &amp; Substance - Training</t>
  </si>
  <si>
    <t>2.5.21</t>
  </si>
  <si>
    <t>Travel Clearing Account</t>
  </si>
  <si>
    <t>2.5.22</t>
  </si>
  <si>
    <t>Seasonal, End of Year Activities &amp; Other Staff Costs</t>
  </si>
  <si>
    <t>Training</t>
  </si>
  <si>
    <t>2.6.1</t>
  </si>
  <si>
    <t>Training (Overseas &amp; Local)</t>
  </si>
  <si>
    <t>2.6.2</t>
  </si>
  <si>
    <t>Recruitment</t>
  </si>
  <si>
    <t>2.6.3</t>
  </si>
  <si>
    <t>Conferences &amp; Seminars</t>
  </si>
  <si>
    <t>2.6.4</t>
  </si>
  <si>
    <t>Staff - Study &amp; Exam Costs</t>
  </si>
  <si>
    <t>Subscriptions</t>
  </si>
  <si>
    <t>2.7.1</t>
  </si>
  <si>
    <t>Subscriptions &amp; Memberships</t>
  </si>
  <si>
    <t>2.7.2</t>
  </si>
  <si>
    <t>Professional Memberships</t>
  </si>
  <si>
    <t>2.7.3</t>
  </si>
  <si>
    <t>Books/Manuals/Reports etc.</t>
  </si>
  <si>
    <t>2.7.4</t>
  </si>
  <si>
    <t>Donations Charitable</t>
  </si>
  <si>
    <t>2.7.5</t>
  </si>
  <si>
    <t>Donations Other</t>
  </si>
  <si>
    <t>2.7.6</t>
  </si>
  <si>
    <t>Corporate Gifts</t>
  </si>
  <si>
    <t>2.7.7</t>
  </si>
  <si>
    <t>Corporate Social Responsibilit</t>
  </si>
  <si>
    <t>2.7.8</t>
  </si>
  <si>
    <t>Technical Databases</t>
  </si>
  <si>
    <t>2.7.9</t>
  </si>
  <si>
    <t>Payroll Giving Matching</t>
  </si>
  <si>
    <t>2.7.10</t>
  </si>
  <si>
    <t>Subscriptions &amp; Donations - Ac</t>
  </si>
  <si>
    <t>Insurance</t>
  </si>
  <si>
    <t>2.8.1</t>
  </si>
  <si>
    <t>Insurance - General</t>
  </si>
  <si>
    <t>2.8.2</t>
  </si>
  <si>
    <t>Building Insurance - Structura</t>
  </si>
  <si>
    <t>2.8.3</t>
  </si>
  <si>
    <t>Motor Vehicles Insurance</t>
  </si>
  <si>
    <t>2.8.4</t>
  </si>
  <si>
    <t>Computer Insurance</t>
  </si>
  <si>
    <t>2.8.5</t>
  </si>
  <si>
    <t>Building Contents Insurance</t>
  </si>
  <si>
    <t>2.8.6</t>
  </si>
  <si>
    <t>All Risks Insurance</t>
  </si>
  <si>
    <t>2.8.7</t>
  </si>
  <si>
    <t>Public Liability Insurance</t>
  </si>
  <si>
    <t>2.8.8</t>
  </si>
  <si>
    <t>Personal Accident, Travel Ins &amp; Medical</t>
  </si>
  <si>
    <t>2.8.9</t>
  </si>
  <si>
    <t>Insurance - Accrued Expenditur</t>
  </si>
  <si>
    <t>Professional Fees</t>
  </si>
  <si>
    <t>2.9.1</t>
  </si>
  <si>
    <t>Audit Fees - Statutory</t>
  </si>
  <si>
    <t>2.9.2</t>
  </si>
  <si>
    <t>Tax Fees - Auditors</t>
  </si>
  <si>
    <t>2.9.3</t>
  </si>
  <si>
    <t>Tax Fees - Other</t>
  </si>
  <si>
    <t>2.9.5</t>
  </si>
  <si>
    <t>Non-Audit Fees (Consultancy)</t>
  </si>
  <si>
    <t>2.9.7</t>
  </si>
  <si>
    <t>Pension Fees</t>
  </si>
  <si>
    <t>2.9.9</t>
  </si>
  <si>
    <t>Legal Fees</t>
  </si>
  <si>
    <t>2.9.10</t>
  </si>
  <si>
    <r>
      <t>Other Fees (</t>
    </r>
    <r>
      <rPr>
        <sz val="11"/>
        <color rgb="FF00B050"/>
        <rFont val="Arial"/>
        <family val="2"/>
      </rPr>
      <t>Board of Directors Fees &amp; Expenses</t>
    </r>
    <r>
      <rPr>
        <sz val="11"/>
        <color theme="1"/>
        <rFont val="Arial"/>
        <family val="2"/>
      </rPr>
      <t>)</t>
    </r>
  </si>
  <si>
    <t>Financial Charges &amp; Income</t>
  </si>
  <si>
    <t>2.10.1</t>
  </si>
  <si>
    <t>Bank Charges</t>
  </si>
  <si>
    <t>2.10.2</t>
  </si>
  <si>
    <t>Credit Card Fees</t>
  </si>
  <si>
    <t>2.10.3</t>
  </si>
  <si>
    <t>Lease Finance Charge</t>
  </si>
  <si>
    <t>2.10.5</t>
  </si>
  <si>
    <t>Stamp and other duties</t>
  </si>
  <si>
    <t>.</t>
  </si>
  <si>
    <t>Indirect Costs</t>
  </si>
  <si>
    <t>2.11.1</t>
  </si>
  <si>
    <t>Overhead</t>
  </si>
  <si>
    <t>PA Obligations /License Fees</t>
  </si>
  <si>
    <t>Annual Surface Rentals (per Article 12.1)</t>
  </si>
  <si>
    <t>Annual Training Fee (per Article 21.1)</t>
  </si>
  <si>
    <t>PC Permit</t>
  </si>
  <si>
    <t>Grand Total Excluding Contingency 10%</t>
  </si>
  <si>
    <t>Total (1+2+3+4)</t>
  </si>
  <si>
    <t>10% Contingency (PA Annex 2 Section 11.1.2)</t>
  </si>
  <si>
    <t>Grand Total Including Contingency 10%</t>
  </si>
  <si>
    <t>Total Including Contingency 10%</t>
  </si>
  <si>
    <t>GOIL UPSTREAM LIMITED 2027 BUDGET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</si>
</sst>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theme="0"/>
      <name val="Verdana"/>
      <family val="2"/>
    </font>
    <font>
      <sz val="11"/>
      <color rgb="FF00B050"/>
      <name val="Arial"/>
      <family val="2"/>
    </font>
    <font>
      <sz val="11"/>
      <color theme="1"/>
      <name val="Verdana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B1F4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78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 applyAlignment="1">
      <alignment vertical="top"/>
    </xf>
    <xf numFmtId="0" fontId="1" fillId="0" borderId="0" xfId="0" applyFont="1"/>
    <xf numFmtId="0" fontId="4" fillId="0" borderId="0" xfId="2" applyFont="1" applyAlignment="1">
      <alignment vertical="top"/>
    </xf>
    <xf numFmtId="0" fontId="4" fillId="0" borderId="1" xfId="2" applyFont="1" applyBorder="1"/>
    <xf numFmtId="42" fontId="6" fillId="0" borderId="2" xfId="2" applyNumberFormat="1" applyFont="1" applyBorder="1" applyAlignment="1">
      <alignment horizontal="center" vertical="top"/>
    </xf>
    <xf numFmtId="42" fontId="6" fillId="0" borderId="3" xfId="2" applyNumberFormat="1" applyFont="1" applyBorder="1" applyAlignment="1">
      <alignment horizontal="center" vertical="top"/>
    </xf>
    <xf numFmtId="42" fontId="6" fillId="0" borderId="3" xfId="2" applyNumberFormat="1" applyFont="1" applyBorder="1" applyAlignment="1">
      <alignment vertical="top"/>
    </xf>
    <xf numFmtId="42" fontId="7" fillId="0" borderId="2" xfId="2" applyNumberFormat="1" applyFont="1" applyBorder="1" applyAlignment="1">
      <alignment horizontal="center" vertical="top" wrapText="1"/>
    </xf>
    <xf numFmtId="42" fontId="7" fillId="0" borderId="4" xfId="2" applyNumberFormat="1" applyFont="1" applyBorder="1" applyAlignment="1">
      <alignment horizontal="center" vertical="top" wrapText="1"/>
    </xf>
    <xf numFmtId="1" fontId="8" fillId="0" borderId="0" xfId="2" applyNumberFormat="1" applyFont="1" applyAlignment="1">
      <alignment horizontal="center"/>
    </xf>
    <xf numFmtId="0" fontId="5" fillId="0" borderId="5" xfId="2" applyFont="1" applyBorder="1" applyAlignment="1">
      <alignment horizontal="center"/>
    </xf>
    <xf numFmtId="42" fontId="5" fillId="0" borderId="6" xfId="2" applyNumberFormat="1" applyFont="1" applyBorder="1"/>
    <xf numFmtId="17" fontId="5" fillId="0" borderId="0" xfId="2" applyNumberFormat="1" applyFont="1" applyAlignment="1">
      <alignment horizontal="center" wrapText="1"/>
    </xf>
    <xf numFmtId="17" fontId="5" fillId="0" borderId="7" xfId="2" applyNumberFormat="1" applyFont="1" applyBorder="1" applyAlignment="1">
      <alignment horizontal="center" vertical="center" wrapText="1"/>
    </xf>
    <xf numFmtId="17" fontId="5" fillId="0" borderId="7" xfId="2" applyNumberFormat="1" applyFont="1" applyBorder="1" applyAlignment="1">
      <alignment horizontal="center" wrapText="1"/>
    </xf>
    <xf numFmtId="164" fontId="9" fillId="0" borderId="0" xfId="1" applyNumberFormat="1" applyFont="1" applyFill="1" applyBorder="1" applyAlignment="1">
      <alignment horizontal="center" vertical="top"/>
    </xf>
    <xf numFmtId="0" fontId="2" fillId="0" borderId="5" xfId="1" applyNumberFormat="1" applyFont="1" applyBorder="1" applyAlignment="1">
      <alignment horizontal="center"/>
    </xf>
    <xf numFmtId="164" fontId="5" fillId="2" borderId="6" xfId="1" applyNumberFormat="1" applyFont="1" applyFill="1" applyBorder="1" applyAlignment="1">
      <alignment vertical="top"/>
    </xf>
    <xf numFmtId="164" fontId="5" fillId="2" borderId="0" xfId="1" applyNumberFormat="1" applyFont="1" applyFill="1" applyBorder="1" applyAlignment="1">
      <alignment vertical="top"/>
    </xf>
    <xf numFmtId="164" fontId="5" fillId="2" borderId="5" xfId="1" applyNumberFormat="1" applyFont="1" applyFill="1" applyBorder="1" applyAlignment="1">
      <alignment vertical="top"/>
    </xf>
    <xf numFmtId="164" fontId="5" fillId="2" borderId="8" xfId="1" applyNumberFormat="1" applyFont="1" applyFill="1" applyBorder="1" applyAlignment="1">
      <alignment vertical="top"/>
    </xf>
    <xf numFmtId="164" fontId="1" fillId="0" borderId="0" xfId="1" applyNumberFormat="1" applyFont="1"/>
    <xf numFmtId="164" fontId="3" fillId="0" borderId="0" xfId="1" applyNumberFormat="1" applyFont="1" applyFill="1" applyBorder="1" applyAlignment="1">
      <alignment horizontal="center" vertical="top"/>
    </xf>
    <xf numFmtId="0" fontId="5" fillId="0" borderId="5" xfId="1" applyNumberFormat="1" applyFont="1" applyFill="1" applyBorder="1" applyAlignment="1">
      <alignment horizontal="center" vertical="top"/>
    </xf>
    <xf numFmtId="164" fontId="10" fillId="3" borderId="6" xfId="1" applyNumberFormat="1" applyFont="1" applyFill="1" applyBorder="1" applyAlignment="1">
      <alignment wrapText="1"/>
    </xf>
    <xf numFmtId="164" fontId="4" fillId="3" borderId="0" xfId="1" applyNumberFormat="1" applyFont="1" applyFill="1" applyBorder="1" applyAlignment="1">
      <alignment vertical="top"/>
    </xf>
    <xf numFmtId="164" fontId="5" fillId="3" borderId="5" xfId="1" applyNumberFormat="1" applyFont="1" applyFill="1" applyBorder="1" applyAlignment="1">
      <alignment vertical="top"/>
    </xf>
    <xf numFmtId="164" fontId="4" fillId="3" borderId="8" xfId="1" applyNumberFormat="1" applyFont="1" applyFill="1" applyBorder="1" applyAlignment="1">
      <alignment vertical="top"/>
    </xf>
    <xf numFmtId="0" fontId="5" fillId="0" borderId="5" xfId="1" applyNumberFormat="1" applyFont="1" applyFill="1" applyBorder="1" applyAlignment="1">
      <alignment horizontal="center" vertical="center"/>
    </xf>
    <xf numFmtId="164" fontId="11" fillId="0" borderId="6" xfId="1" applyNumberFormat="1" applyFont="1" applyBorder="1" applyAlignment="1">
      <alignment vertical="top"/>
    </xf>
    <xf numFmtId="164" fontId="4" fillId="0" borderId="0" xfId="1" applyNumberFormat="1" applyFont="1" applyFill="1" applyBorder="1" applyAlignment="1">
      <alignment vertical="top"/>
    </xf>
    <xf numFmtId="164" fontId="5" fillId="0" borderId="5" xfId="1" applyNumberFormat="1" applyFont="1" applyFill="1" applyBorder="1" applyAlignment="1">
      <alignment vertical="top"/>
    </xf>
    <xf numFmtId="164" fontId="4" fillId="0" borderId="8" xfId="1" applyNumberFormat="1" applyFont="1" applyFill="1" applyBorder="1" applyAlignment="1">
      <alignment vertical="top"/>
    </xf>
    <xf numFmtId="164" fontId="0" fillId="0" borderId="0" xfId="1" applyNumberFormat="1" applyFont="1"/>
    <xf numFmtId="164" fontId="4" fillId="0" borderId="6" xfId="1" applyNumberFormat="1" applyFont="1" applyBorder="1" applyAlignment="1">
      <alignment horizontal="left" vertical="top"/>
    </xf>
    <xf numFmtId="164" fontId="5" fillId="0" borderId="0" xfId="1" applyNumberFormat="1" applyFont="1" applyFill="1" applyBorder="1" applyAlignment="1">
      <alignment vertical="top"/>
    </xf>
    <xf numFmtId="164" fontId="5" fillId="0" borderId="8" xfId="1" applyNumberFormat="1" applyFont="1" applyFill="1" applyBorder="1" applyAlignment="1">
      <alignment vertical="top"/>
    </xf>
    <xf numFmtId="164" fontId="12" fillId="0" borderId="6" xfId="1" applyNumberFormat="1" applyFont="1" applyBorder="1"/>
    <xf numFmtId="0" fontId="4" fillId="0" borderId="5" xfId="1" applyNumberFormat="1" applyFont="1" applyFill="1" applyBorder="1" applyAlignment="1">
      <alignment horizontal="center" vertical="top"/>
    </xf>
    <xf numFmtId="164" fontId="4" fillId="0" borderId="5" xfId="1" applyNumberFormat="1" applyFont="1" applyFill="1" applyBorder="1" applyAlignment="1">
      <alignment vertical="top"/>
    </xf>
    <xf numFmtId="164" fontId="2" fillId="0" borderId="0" xfId="1" applyNumberFormat="1" applyFont="1"/>
    <xf numFmtId="164" fontId="13" fillId="4" borderId="0" xfId="1" applyNumberFormat="1" applyFont="1" applyFill="1" applyBorder="1" applyAlignment="1">
      <alignment horizontal="left" vertical="center"/>
    </xf>
    <xf numFmtId="164" fontId="5" fillId="0" borderId="0" xfId="1" applyNumberFormat="1" applyFont="1" applyBorder="1" applyAlignment="1">
      <alignment vertical="top"/>
    </xf>
    <xf numFmtId="164" fontId="5" fillId="0" borderId="8" xfId="1" applyNumberFormat="1" applyFont="1" applyBorder="1" applyAlignment="1">
      <alignment vertical="top"/>
    </xf>
    <xf numFmtId="164" fontId="2" fillId="0" borderId="0" xfId="1" applyNumberFormat="1" applyFont="1" applyBorder="1"/>
    <xf numFmtId="164" fontId="2" fillId="0" borderId="8" xfId="1" applyNumberFormat="1" applyFont="1" applyBorder="1"/>
    <xf numFmtId="164" fontId="4" fillId="0" borderId="6" xfId="1" applyNumberFormat="1" applyFont="1" applyBorder="1" applyAlignment="1">
      <alignment horizontal="left" vertical="top" indent="1"/>
    </xf>
    <xf numFmtId="2" fontId="5" fillId="0" borderId="5" xfId="1" applyNumberFormat="1" applyFont="1" applyFill="1" applyBorder="1" applyAlignment="1">
      <alignment horizontal="center" vertical="top"/>
    </xf>
    <xf numFmtId="0" fontId="13" fillId="5" borderId="9" xfId="1" applyNumberFormat="1" applyFont="1" applyFill="1" applyBorder="1" applyAlignment="1">
      <alignment horizontal="left" vertical="center"/>
    </xf>
    <xf numFmtId="164" fontId="13" fillId="5" borderId="2" xfId="1" applyNumberFormat="1" applyFont="1" applyFill="1" applyBorder="1"/>
    <xf numFmtId="164" fontId="13" fillId="5" borderId="10" xfId="1" applyNumberFormat="1" applyFont="1" applyFill="1" applyBorder="1"/>
    <xf numFmtId="164" fontId="13" fillId="5" borderId="9" xfId="1" applyNumberFormat="1" applyFont="1" applyFill="1" applyBorder="1"/>
    <xf numFmtId="164" fontId="13" fillId="5" borderId="11" xfId="1" applyNumberFormat="1" applyFont="1" applyFill="1" applyBorder="1"/>
    <xf numFmtId="164" fontId="13" fillId="0" borderId="0" xfId="1" applyNumberFormat="1" applyFont="1" applyFill="1" applyBorder="1"/>
    <xf numFmtId="164" fontId="15" fillId="0" borderId="0" xfId="1" applyNumberFormat="1" applyFont="1"/>
    <xf numFmtId="0" fontId="0" fillId="0" borderId="5" xfId="1" applyNumberFormat="1" applyFont="1" applyBorder="1"/>
    <xf numFmtId="164" fontId="5" fillId="0" borderId="6" xfId="1" applyNumberFormat="1" applyFont="1" applyBorder="1" applyAlignment="1">
      <alignment vertical="top"/>
    </xf>
    <xf numFmtId="164" fontId="0" fillId="0" borderId="0" xfId="1" applyNumberFormat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0" fontId="15" fillId="0" borderId="5" xfId="1" quotePrefix="1" applyNumberFormat="1" applyFont="1" applyBorder="1"/>
    <xf numFmtId="164" fontId="15" fillId="0" borderId="6" xfId="1" applyNumberFormat="1" applyFont="1" applyBorder="1"/>
    <xf numFmtId="164" fontId="15" fillId="0" borderId="0" xfId="1" applyNumberFormat="1" applyFont="1" applyBorder="1"/>
    <xf numFmtId="164" fontId="15" fillId="0" borderId="5" xfId="1" applyNumberFormat="1" applyFont="1" applyBorder="1"/>
    <xf numFmtId="164" fontId="15" fillId="0" borderId="8" xfId="1" applyNumberFormat="1" applyFont="1" applyBorder="1"/>
    <xf numFmtId="164" fontId="0" fillId="0" borderId="6" xfId="1" applyNumberFormat="1" applyFont="1" applyBorder="1"/>
    <xf numFmtId="164" fontId="13" fillId="5" borderId="12" xfId="1" applyNumberFormat="1" applyFont="1" applyFill="1" applyBorder="1"/>
    <xf numFmtId="164" fontId="13" fillId="5" borderId="13" xfId="1" applyNumberFormat="1" applyFont="1" applyFill="1" applyBorder="1"/>
    <xf numFmtId="0" fontId="5" fillId="0" borderId="0" xfId="2" applyFont="1" applyAlignment="1">
      <alignment horizontal="left" vertical="top"/>
    </xf>
    <xf numFmtId="0" fontId="16" fillId="0" borderId="0" xfId="2" applyFont="1"/>
    <xf numFmtId="0" fontId="16" fillId="0" borderId="0" xfId="2" applyFont="1" applyAlignment="1">
      <alignment vertical="top"/>
    </xf>
    <xf numFmtId="0" fontId="16" fillId="0" borderId="0" xfId="2" applyFont="1" applyAlignment="1">
      <alignment horizontal="left" vertical="top"/>
    </xf>
    <xf numFmtId="0" fontId="4" fillId="0" borderId="0" xfId="2" applyFont="1" applyAlignment="1">
      <alignment horizontal="right" vertical="top"/>
    </xf>
    <xf numFmtId="9" fontId="4" fillId="0" borderId="0" xfId="2" applyNumberFormat="1" applyFont="1" applyAlignment="1">
      <alignment horizontal="right" vertical="top"/>
    </xf>
    <xf numFmtId="9" fontId="4" fillId="0" borderId="0" xfId="2" applyNumberFormat="1" applyFont="1" applyAlignment="1">
      <alignment vertical="top"/>
    </xf>
  </cellXfs>
  <cellStyles count="3">
    <cellStyle name="Comma" xfId="1" builtinId="3"/>
    <cellStyle name="Normal" xfId="0" builtinId="0"/>
    <cellStyle name="Normal 3" xfId="2" xr:uid="{5EC1F4D7-DDB7-47C8-9284-7732499F4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444D-2457-4B86-8141-6E1B3276B911}">
  <dimension ref="A2:T256"/>
  <sheetViews>
    <sheetView tabSelected="1" workbookViewId="0">
      <selection activeCell="C36" sqref="C36"/>
    </sheetView>
  </sheetViews>
  <sheetFormatPr defaultColWidth="8.85546875" defaultRowHeight="15" outlineLevelRow="1" x14ac:dyDescent="0.25"/>
  <cols>
    <col min="1" max="1" width="6.7109375" style="4" customWidth="1"/>
    <col min="2" max="2" width="8.42578125" bestFit="1" customWidth="1"/>
    <col min="3" max="3" width="65.5703125" bestFit="1" customWidth="1"/>
    <col min="4" max="4" width="21.42578125" customWidth="1"/>
    <col min="5" max="5" width="21" customWidth="1"/>
    <col min="6" max="7" width="20.42578125" customWidth="1"/>
    <col min="8" max="10" width="20" customWidth="1"/>
    <col min="11" max="11" width="26" style="4" customWidth="1"/>
    <col min="12" max="13" width="8.85546875" style="4"/>
    <col min="14" max="14" width="11.28515625" style="4" bestFit="1" customWidth="1"/>
    <col min="15" max="16384" width="8.85546875" style="4"/>
  </cols>
  <sheetData>
    <row r="2" spans="1:12" x14ac:dyDescent="0.25">
      <c r="A2" s="1"/>
      <c r="B2" s="2"/>
      <c r="C2" s="3"/>
      <c r="D2" s="3"/>
      <c r="E2" s="3"/>
      <c r="F2" s="3"/>
      <c r="G2" s="3"/>
      <c r="H2" s="3"/>
      <c r="I2" s="3"/>
      <c r="J2" s="3"/>
    </row>
    <row r="3" spans="1:12" x14ac:dyDescent="0.25">
      <c r="A3" s="1"/>
      <c r="B3" s="2"/>
      <c r="C3" s="3"/>
      <c r="D3" s="3"/>
      <c r="E3" s="3"/>
      <c r="F3" s="3"/>
      <c r="G3" s="3"/>
      <c r="H3" s="3"/>
      <c r="I3" s="3"/>
      <c r="J3" s="3"/>
    </row>
    <row r="4" spans="1:12" ht="16.5" customHeight="1" thickBot="1" x14ac:dyDescent="0.3">
      <c r="A4" s="1"/>
      <c r="B4" s="2"/>
      <c r="C4" s="5"/>
      <c r="D4" s="2"/>
      <c r="E4" s="2"/>
      <c r="F4" s="2"/>
      <c r="G4" s="2"/>
      <c r="H4" s="2"/>
      <c r="I4" s="2"/>
      <c r="J4" s="2"/>
    </row>
    <row r="5" spans="1:12" ht="45.75" customHeight="1" thickBot="1" x14ac:dyDescent="0.3">
      <c r="A5" s="1"/>
      <c r="B5" s="6"/>
      <c r="C5" s="7" t="s">
        <v>402</v>
      </c>
      <c r="D5" s="8"/>
      <c r="E5" s="8"/>
      <c r="F5" s="8"/>
      <c r="G5" s="8"/>
      <c r="H5" s="9"/>
      <c r="I5" s="10" t="s">
        <v>0</v>
      </c>
      <c r="J5" s="11"/>
    </row>
    <row r="6" spans="1:12" ht="45.75" thickBot="1" x14ac:dyDescent="0.3">
      <c r="A6" s="12"/>
      <c r="B6" s="13"/>
      <c r="C6" s="14"/>
      <c r="D6" s="15" t="s">
        <v>1</v>
      </c>
      <c r="E6" s="15" t="s">
        <v>2</v>
      </c>
      <c r="F6" s="15" t="s">
        <v>3</v>
      </c>
      <c r="G6" s="15" t="s">
        <v>4</v>
      </c>
      <c r="H6" s="16" t="s">
        <v>5</v>
      </c>
      <c r="I6" s="16" t="s">
        <v>6</v>
      </c>
      <c r="J6" s="17" t="s">
        <v>7</v>
      </c>
    </row>
    <row r="7" spans="1:12" s="24" customFormat="1" ht="19.5" customHeight="1" outlineLevel="1" x14ac:dyDescent="0.25">
      <c r="A7" s="18"/>
      <c r="B7" s="19">
        <v>1</v>
      </c>
      <c r="C7" s="20" t="s">
        <v>8</v>
      </c>
      <c r="D7" s="21">
        <f>SUM(D30+D26+D19+D8)</f>
        <v>0</v>
      </c>
      <c r="E7" s="21">
        <f>SUM(E30+E26+E19+E8)</f>
        <v>0</v>
      </c>
      <c r="F7" s="21">
        <f>SUM(F30+F26+F19+F8)</f>
        <v>0</v>
      </c>
      <c r="G7" s="21">
        <f>SUM(G30+G26+G19+G8)</f>
        <v>0</v>
      </c>
      <c r="H7" s="22">
        <f>SUM(D7:G7)</f>
        <v>0</v>
      </c>
      <c r="I7" s="23">
        <f>SUM(I30+I26+I19+I8)</f>
        <v>0</v>
      </c>
      <c r="J7" s="23">
        <f>SUM(J30+J26+J19+J8)</f>
        <v>0</v>
      </c>
    </row>
    <row r="8" spans="1:12" s="24" customFormat="1" outlineLevel="1" x14ac:dyDescent="0.25">
      <c r="A8" s="25"/>
      <c r="B8" s="26">
        <v>1.1000000000000001</v>
      </c>
      <c r="C8" s="27" t="s">
        <v>9</v>
      </c>
      <c r="D8" s="28">
        <f>SUM(D9:D17)</f>
        <v>0</v>
      </c>
      <c r="E8" s="28">
        <f t="shared" ref="E8:G8" si="0">SUM(E9:E17)</f>
        <v>0</v>
      </c>
      <c r="F8" s="28">
        <f>SUM(F9:F17)</f>
        <v>0</v>
      </c>
      <c r="G8" s="28">
        <f t="shared" si="0"/>
        <v>0</v>
      </c>
      <c r="H8" s="29">
        <f>SUM(D8:G8)</f>
        <v>0</v>
      </c>
      <c r="I8" s="30">
        <f>SUM(I9:I17)</f>
        <v>0</v>
      </c>
      <c r="J8" s="30">
        <f>SUM(J9:J17)</f>
        <v>0</v>
      </c>
    </row>
    <row r="9" spans="1:12" s="24" customFormat="1" ht="15.75" outlineLevel="1" x14ac:dyDescent="0.25">
      <c r="A9" s="18"/>
      <c r="B9" s="31" t="s">
        <v>10</v>
      </c>
      <c r="C9" s="32" t="s">
        <v>11</v>
      </c>
      <c r="D9" s="33">
        <v>0</v>
      </c>
      <c r="E9" s="33">
        <v>0</v>
      </c>
      <c r="F9" s="33">
        <v>0</v>
      </c>
      <c r="G9" s="33">
        <v>0</v>
      </c>
      <c r="H9" s="34">
        <f t="shared" ref="H9:H15" si="1">SUM(D9:G9)</f>
        <v>0</v>
      </c>
      <c r="I9" s="35">
        <v>0</v>
      </c>
      <c r="J9" s="35">
        <v>0</v>
      </c>
      <c r="L9" s="36"/>
    </row>
    <row r="10" spans="1:12" s="24" customFormat="1" ht="15.75" outlineLevel="1" x14ac:dyDescent="0.25">
      <c r="A10" s="18"/>
      <c r="B10" s="31" t="s">
        <v>12</v>
      </c>
      <c r="C10" s="32" t="s">
        <v>13</v>
      </c>
      <c r="D10" s="33">
        <v>0</v>
      </c>
      <c r="E10" s="33">
        <v>0</v>
      </c>
      <c r="F10" s="33">
        <v>0</v>
      </c>
      <c r="G10" s="33">
        <v>0</v>
      </c>
      <c r="H10" s="34">
        <f>SUM(D10:G10)</f>
        <v>0</v>
      </c>
      <c r="I10" s="35">
        <v>0</v>
      </c>
      <c r="J10" s="35">
        <v>0</v>
      </c>
      <c r="L10" s="36"/>
    </row>
    <row r="11" spans="1:12" s="24" customFormat="1" ht="15.75" hidden="1" outlineLevel="1" x14ac:dyDescent="0.25">
      <c r="A11" s="18"/>
      <c r="B11" s="31" t="s">
        <v>14</v>
      </c>
      <c r="C11" s="32" t="s">
        <v>15</v>
      </c>
      <c r="D11" s="33">
        <v>0</v>
      </c>
      <c r="E11" s="33">
        <v>0</v>
      </c>
      <c r="F11" s="33">
        <v>0</v>
      </c>
      <c r="G11" s="33">
        <v>0</v>
      </c>
      <c r="H11" s="34">
        <f t="shared" si="1"/>
        <v>0</v>
      </c>
      <c r="I11" s="35">
        <v>0</v>
      </c>
      <c r="J11" s="35">
        <v>0</v>
      </c>
      <c r="L11" s="36"/>
    </row>
    <row r="12" spans="1:12" s="24" customFormat="1" hidden="1" outlineLevel="1" x14ac:dyDescent="0.25">
      <c r="A12" s="25"/>
      <c r="B12" s="31" t="s">
        <v>16</v>
      </c>
      <c r="C12" s="32" t="s">
        <v>17</v>
      </c>
      <c r="D12" s="33">
        <v>0</v>
      </c>
      <c r="E12" s="33">
        <v>0</v>
      </c>
      <c r="F12" s="33">
        <v>0</v>
      </c>
      <c r="G12" s="33">
        <v>0</v>
      </c>
      <c r="H12" s="34">
        <f t="shared" si="1"/>
        <v>0</v>
      </c>
      <c r="I12" s="35">
        <v>0</v>
      </c>
      <c r="J12" s="35">
        <v>0</v>
      </c>
      <c r="L12" s="36"/>
    </row>
    <row r="13" spans="1:12" s="24" customFormat="1" ht="15.75" hidden="1" outlineLevel="1" x14ac:dyDescent="0.25">
      <c r="A13" s="18"/>
      <c r="B13" s="31" t="s">
        <v>18</v>
      </c>
      <c r="C13" s="32" t="s">
        <v>19</v>
      </c>
      <c r="D13" s="33">
        <v>0</v>
      </c>
      <c r="E13" s="33">
        <v>0</v>
      </c>
      <c r="F13" s="33">
        <v>0</v>
      </c>
      <c r="G13" s="33">
        <v>0</v>
      </c>
      <c r="H13" s="34">
        <f t="shared" si="1"/>
        <v>0</v>
      </c>
      <c r="I13" s="35">
        <v>0</v>
      </c>
      <c r="J13" s="35">
        <v>0</v>
      </c>
      <c r="L13" s="36"/>
    </row>
    <row r="14" spans="1:12" s="24" customFormat="1" hidden="1" outlineLevel="1" x14ac:dyDescent="0.25">
      <c r="A14" s="25"/>
      <c r="B14" s="31" t="s">
        <v>20</v>
      </c>
      <c r="C14" s="32" t="s">
        <v>21</v>
      </c>
      <c r="D14" s="33">
        <v>0</v>
      </c>
      <c r="E14" s="33">
        <v>0</v>
      </c>
      <c r="F14" s="33">
        <v>0</v>
      </c>
      <c r="G14" s="33">
        <v>0</v>
      </c>
      <c r="H14" s="34">
        <f t="shared" si="1"/>
        <v>0</v>
      </c>
      <c r="I14" s="35">
        <v>0</v>
      </c>
      <c r="J14" s="35">
        <v>0</v>
      </c>
      <c r="L14" s="36"/>
    </row>
    <row r="15" spans="1:12" s="24" customFormat="1" ht="15.75" outlineLevel="1" x14ac:dyDescent="0.25">
      <c r="A15" s="18"/>
      <c r="B15" s="31" t="s">
        <v>22</v>
      </c>
      <c r="C15" s="32" t="s">
        <v>23</v>
      </c>
      <c r="D15" s="33">
        <v>0</v>
      </c>
      <c r="E15" s="33">
        <v>0</v>
      </c>
      <c r="F15" s="33">
        <v>0</v>
      </c>
      <c r="G15" s="33">
        <v>0</v>
      </c>
      <c r="H15" s="34">
        <f t="shared" si="1"/>
        <v>0</v>
      </c>
      <c r="I15" s="35">
        <v>0</v>
      </c>
      <c r="J15" s="35">
        <v>0</v>
      </c>
      <c r="L15" s="36"/>
    </row>
    <row r="16" spans="1:12" s="24" customFormat="1" ht="15.75" hidden="1" outlineLevel="1" x14ac:dyDescent="0.25">
      <c r="A16" s="18"/>
      <c r="B16" s="31" t="s">
        <v>24</v>
      </c>
      <c r="C16" s="32"/>
      <c r="D16" s="33"/>
      <c r="E16" s="33"/>
      <c r="F16" s="33"/>
      <c r="G16" s="33"/>
      <c r="H16" s="34"/>
      <c r="I16" s="35"/>
      <c r="J16" s="35"/>
      <c r="L16" s="36"/>
    </row>
    <row r="17" spans="1:12" s="24" customFormat="1" ht="15.75" outlineLevel="1" x14ac:dyDescent="0.25">
      <c r="A17" s="18"/>
      <c r="B17" s="31" t="s">
        <v>25</v>
      </c>
      <c r="C17" s="32" t="s">
        <v>26</v>
      </c>
      <c r="D17" s="33">
        <v>0</v>
      </c>
      <c r="E17" s="33">
        <v>0</v>
      </c>
      <c r="F17" s="33">
        <v>0</v>
      </c>
      <c r="G17" s="33">
        <v>0</v>
      </c>
      <c r="H17" s="34">
        <f>SUM(D17:G17)</f>
        <v>0</v>
      </c>
      <c r="I17" s="35">
        <v>0</v>
      </c>
      <c r="J17" s="35">
        <v>0</v>
      </c>
      <c r="L17" s="36"/>
    </row>
    <row r="18" spans="1:12" s="24" customFormat="1" ht="12.6" customHeight="1" x14ac:dyDescent="0.25">
      <c r="A18" s="18"/>
      <c r="B18" s="26"/>
      <c r="C18" s="37"/>
      <c r="D18" s="38"/>
      <c r="E18" s="38"/>
      <c r="F18" s="38"/>
      <c r="G18" s="38"/>
      <c r="H18" s="34"/>
      <c r="I18" s="39"/>
      <c r="J18" s="39"/>
    </row>
    <row r="19" spans="1:12" s="24" customFormat="1" outlineLevel="1" x14ac:dyDescent="0.25">
      <c r="A19" s="25"/>
      <c r="B19" s="26">
        <v>1.2</v>
      </c>
      <c r="C19" s="27" t="s">
        <v>27</v>
      </c>
      <c r="D19" s="28">
        <f>SUM(D20:D24)</f>
        <v>0</v>
      </c>
      <c r="E19" s="28">
        <f t="shared" ref="E19:G19" si="2">SUM(E20:E24)</f>
        <v>0</v>
      </c>
      <c r="F19" s="28">
        <f t="shared" si="2"/>
        <v>0</v>
      </c>
      <c r="G19" s="28">
        <f t="shared" si="2"/>
        <v>0</v>
      </c>
      <c r="H19" s="29">
        <f>SUM(D19:G19)</f>
        <v>0</v>
      </c>
      <c r="I19" s="30">
        <f>SUM(I20:I24)</f>
        <v>0</v>
      </c>
      <c r="J19" s="30">
        <f>SUM(J20:J24)</f>
        <v>0</v>
      </c>
    </row>
    <row r="20" spans="1:12" s="24" customFormat="1" ht="15.75" outlineLevel="1" x14ac:dyDescent="0.25">
      <c r="A20" s="18"/>
      <c r="B20" s="31" t="s">
        <v>28</v>
      </c>
      <c r="C20" s="32" t="s">
        <v>29</v>
      </c>
      <c r="D20" s="33">
        <v>0</v>
      </c>
      <c r="E20" s="33">
        <v>0</v>
      </c>
      <c r="F20" s="33">
        <v>0</v>
      </c>
      <c r="G20" s="33">
        <v>0</v>
      </c>
      <c r="H20" s="34">
        <f>SUM(D20:G20)</f>
        <v>0</v>
      </c>
      <c r="I20" s="35">
        <v>0</v>
      </c>
      <c r="J20" s="35">
        <v>0</v>
      </c>
      <c r="L20" s="36"/>
    </row>
    <row r="21" spans="1:12" s="24" customFormat="1" ht="15.75" outlineLevel="1" x14ac:dyDescent="0.25">
      <c r="A21" s="18"/>
      <c r="B21" s="31" t="s">
        <v>30</v>
      </c>
      <c r="C21" s="32" t="s">
        <v>31</v>
      </c>
      <c r="D21" s="33">
        <v>0</v>
      </c>
      <c r="E21" s="33">
        <v>0</v>
      </c>
      <c r="F21" s="33">
        <v>0</v>
      </c>
      <c r="G21" s="33">
        <v>0</v>
      </c>
      <c r="H21" s="34">
        <f>SUM(D21:G21)</f>
        <v>0</v>
      </c>
      <c r="I21" s="35">
        <v>0</v>
      </c>
      <c r="J21" s="35">
        <v>0</v>
      </c>
      <c r="L21" s="36"/>
    </row>
    <row r="22" spans="1:12" s="24" customFormat="1" ht="15.75" outlineLevel="1" x14ac:dyDescent="0.25">
      <c r="A22" s="18"/>
      <c r="B22" s="31" t="s">
        <v>32</v>
      </c>
      <c r="C22" s="32" t="s">
        <v>33</v>
      </c>
      <c r="D22" s="33">
        <v>0</v>
      </c>
      <c r="E22" s="33">
        <v>0</v>
      </c>
      <c r="F22" s="33">
        <v>0</v>
      </c>
      <c r="G22" s="33">
        <v>0</v>
      </c>
      <c r="H22" s="34">
        <f t="shared" ref="H22:H24" si="3">SUM(D22:G22)</f>
        <v>0</v>
      </c>
      <c r="I22" s="35">
        <v>0</v>
      </c>
      <c r="J22" s="35">
        <v>0</v>
      </c>
      <c r="L22" s="36"/>
    </row>
    <row r="23" spans="1:12" s="24" customFormat="1" ht="15.75" outlineLevel="1" x14ac:dyDescent="0.25">
      <c r="A23" s="18"/>
      <c r="B23" s="31" t="s">
        <v>34</v>
      </c>
      <c r="C23" s="32" t="s">
        <v>35</v>
      </c>
      <c r="D23" s="33">
        <v>0</v>
      </c>
      <c r="E23" s="33">
        <v>0</v>
      </c>
      <c r="F23" s="33">
        <v>0</v>
      </c>
      <c r="G23" s="33">
        <v>0</v>
      </c>
      <c r="H23" s="34">
        <f t="shared" si="3"/>
        <v>0</v>
      </c>
      <c r="I23" s="35">
        <v>0</v>
      </c>
      <c r="J23" s="35">
        <v>0</v>
      </c>
      <c r="L23" s="36"/>
    </row>
    <row r="24" spans="1:12" s="24" customFormat="1" ht="15.75" outlineLevel="1" x14ac:dyDescent="0.25">
      <c r="A24" s="18"/>
      <c r="B24" s="31" t="s">
        <v>36</v>
      </c>
      <c r="C24" s="32" t="s">
        <v>37</v>
      </c>
      <c r="D24" s="33">
        <v>0</v>
      </c>
      <c r="E24" s="33">
        <v>0</v>
      </c>
      <c r="F24" s="33">
        <v>0</v>
      </c>
      <c r="G24" s="33">
        <v>0</v>
      </c>
      <c r="H24" s="34">
        <f t="shared" si="3"/>
        <v>0</v>
      </c>
      <c r="I24" s="35">
        <v>0</v>
      </c>
      <c r="J24" s="35">
        <v>0</v>
      </c>
      <c r="L24" s="36"/>
    </row>
    <row r="25" spans="1:12" s="24" customFormat="1" ht="12.6" customHeight="1" x14ac:dyDescent="0.25">
      <c r="A25" s="25"/>
      <c r="B25" s="26"/>
      <c r="C25" s="32"/>
      <c r="D25" s="38"/>
      <c r="E25" s="38"/>
      <c r="F25" s="38"/>
      <c r="G25" s="38"/>
      <c r="H25" s="34"/>
      <c r="I25" s="39"/>
      <c r="J25" s="39"/>
    </row>
    <row r="26" spans="1:12" s="24" customFormat="1" outlineLevel="1" x14ac:dyDescent="0.25">
      <c r="A26" s="25"/>
      <c r="B26" s="26">
        <v>1.3</v>
      </c>
      <c r="C26" s="27" t="s">
        <v>38</v>
      </c>
      <c r="D26" s="28">
        <f>SUM(D27:D28)</f>
        <v>0</v>
      </c>
      <c r="E26" s="28">
        <f>SUM(E27:E28)</f>
        <v>0</v>
      </c>
      <c r="F26" s="28">
        <f>SUM(F27:F28)</f>
        <v>0</v>
      </c>
      <c r="G26" s="28">
        <f>SUM(G27:G28)</f>
        <v>0</v>
      </c>
      <c r="H26" s="29">
        <f>SUM(D26:G26)</f>
        <v>0</v>
      </c>
      <c r="I26" s="30">
        <f>SUM(I27:I28)</f>
        <v>0</v>
      </c>
      <c r="J26" s="30">
        <f>SUM(J27:J28)</f>
        <v>0</v>
      </c>
    </row>
    <row r="27" spans="1:12" s="24" customFormat="1" ht="15" hidden="1" customHeight="1" outlineLevel="1" x14ac:dyDescent="0.25">
      <c r="A27" s="25"/>
      <c r="B27" s="26" t="s">
        <v>39</v>
      </c>
      <c r="C27" s="32" t="s">
        <v>40</v>
      </c>
      <c r="D27" s="33">
        <v>0</v>
      </c>
      <c r="E27" s="33">
        <v>0</v>
      </c>
      <c r="F27" s="33">
        <v>0</v>
      </c>
      <c r="G27" s="33">
        <v>0</v>
      </c>
      <c r="H27" s="34">
        <f>SUM(D27:G27)</f>
        <v>0</v>
      </c>
      <c r="I27" s="35">
        <v>0</v>
      </c>
      <c r="J27" s="35">
        <v>0</v>
      </c>
    </row>
    <row r="28" spans="1:12" s="24" customFormat="1" ht="12.75" hidden="1" customHeight="1" outlineLevel="1" x14ac:dyDescent="0.25">
      <c r="A28" s="25"/>
      <c r="B28" s="26" t="s">
        <v>41</v>
      </c>
      <c r="C28" s="32" t="s">
        <v>42</v>
      </c>
      <c r="D28" s="33">
        <v>0</v>
      </c>
      <c r="E28" s="33">
        <v>0</v>
      </c>
      <c r="F28" s="33">
        <v>0</v>
      </c>
      <c r="G28" s="33">
        <v>0</v>
      </c>
      <c r="H28" s="34"/>
      <c r="I28" s="35">
        <v>0</v>
      </c>
      <c r="J28" s="35">
        <v>0</v>
      </c>
    </row>
    <row r="29" spans="1:12" s="24" customFormat="1" ht="12.6" customHeight="1" x14ac:dyDescent="0.25">
      <c r="A29" s="25"/>
      <c r="B29" s="26"/>
      <c r="C29" s="37"/>
      <c r="D29" s="38"/>
      <c r="E29" s="38"/>
      <c r="F29" s="38"/>
      <c r="G29" s="38"/>
      <c r="H29" s="34"/>
      <c r="I29" s="39"/>
      <c r="J29" s="39"/>
    </row>
    <row r="30" spans="1:12" s="24" customFormat="1" outlineLevel="1" x14ac:dyDescent="0.25">
      <c r="A30" s="25"/>
      <c r="B30" s="26">
        <v>1.4</v>
      </c>
      <c r="C30" s="27" t="s">
        <v>43</v>
      </c>
      <c r="D30" s="28">
        <f>SUM(D41+D39+D31)</f>
        <v>0</v>
      </c>
      <c r="E30" s="28">
        <f>SUM(E41+E39+E31)</f>
        <v>0</v>
      </c>
      <c r="F30" s="28">
        <f>SUM(F41+F39+F31)</f>
        <v>0</v>
      </c>
      <c r="G30" s="28">
        <f>SUM(G41+G39+G31)</f>
        <v>0</v>
      </c>
      <c r="H30" s="29">
        <f>SUM(D30:G30)</f>
        <v>0</v>
      </c>
      <c r="I30" s="30">
        <f>SUM(I41+I39+I31)</f>
        <v>0</v>
      </c>
      <c r="J30" s="30">
        <f>SUM(J41+J39+J31)</f>
        <v>0</v>
      </c>
    </row>
    <row r="31" spans="1:12" s="24" customFormat="1" ht="19.5" customHeight="1" outlineLevel="1" x14ac:dyDescent="0.25">
      <c r="B31" s="31" t="s">
        <v>44</v>
      </c>
      <c r="C31" s="40" t="s">
        <v>45</v>
      </c>
      <c r="D31" s="38">
        <f>SUM(D32:D38)</f>
        <v>0</v>
      </c>
      <c r="E31" s="38">
        <f>SUM(E32:E38)</f>
        <v>0</v>
      </c>
      <c r="F31" s="38">
        <f>SUM(F32:F38)</f>
        <v>0</v>
      </c>
      <c r="G31" s="38">
        <f>SUM(G32:G38)</f>
        <v>0</v>
      </c>
      <c r="H31" s="34">
        <f t="shared" ref="H31:H45" si="4">SUM(D31:G31)</f>
        <v>0</v>
      </c>
      <c r="I31" s="38">
        <f>SUM(I32:I38)</f>
        <v>0</v>
      </c>
      <c r="J31" s="39">
        <f>SUM(J32:J38)</f>
        <v>0</v>
      </c>
    </row>
    <row r="32" spans="1:12" s="24" customFormat="1" outlineLevel="1" x14ac:dyDescent="0.25">
      <c r="B32" s="31" t="s">
        <v>46</v>
      </c>
      <c r="C32" s="32" t="s">
        <v>47</v>
      </c>
      <c r="D32" s="33">
        <v>0</v>
      </c>
      <c r="E32" s="33">
        <v>0</v>
      </c>
      <c r="F32" s="33">
        <v>0</v>
      </c>
      <c r="G32" s="33">
        <v>0</v>
      </c>
      <c r="H32" s="34">
        <f t="shared" si="4"/>
        <v>0</v>
      </c>
      <c r="I32" s="35">
        <v>0</v>
      </c>
      <c r="J32" s="35">
        <v>0</v>
      </c>
      <c r="L32" s="36"/>
    </row>
    <row r="33" spans="1:12" s="24" customFormat="1" ht="15.75" outlineLevel="1" x14ac:dyDescent="0.25">
      <c r="A33" s="18"/>
      <c r="B33" s="31" t="s">
        <v>48</v>
      </c>
      <c r="C33" s="32" t="s">
        <v>49</v>
      </c>
      <c r="D33" s="33">
        <v>0</v>
      </c>
      <c r="E33" s="33">
        <v>0</v>
      </c>
      <c r="F33" s="33">
        <v>0</v>
      </c>
      <c r="G33" s="33">
        <v>0</v>
      </c>
      <c r="H33" s="34">
        <f t="shared" si="4"/>
        <v>0</v>
      </c>
      <c r="I33" s="35">
        <v>0</v>
      </c>
      <c r="J33" s="35">
        <v>0</v>
      </c>
      <c r="L33" s="36"/>
    </row>
    <row r="34" spans="1:12" s="24" customFormat="1" outlineLevel="1" x14ac:dyDescent="0.25">
      <c r="A34" s="25"/>
      <c r="B34" s="31" t="s">
        <v>50</v>
      </c>
      <c r="C34" s="32" t="s">
        <v>51</v>
      </c>
      <c r="D34" s="33">
        <v>0</v>
      </c>
      <c r="E34" s="33">
        <v>0</v>
      </c>
      <c r="F34" s="33">
        <v>0</v>
      </c>
      <c r="G34" s="33">
        <v>0</v>
      </c>
      <c r="H34" s="34">
        <f t="shared" si="4"/>
        <v>0</v>
      </c>
      <c r="I34" s="35">
        <v>0</v>
      </c>
      <c r="J34" s="35">
        <v>0</v>
      </c>
      <c r="L34" s="36"/>
    </row>
    <row r="35" spans="1:12" s="24" customFormat="1" ht="15.75" outlineLevel="1" x14ac:dyDescent="0.25">
      <c r="A35" s="18"/>
      <c r="B35" s="31" t="s">
        <v>52</v>
      </c>
      <c r="C35" s="32" t="s">
        <v>53</v>
      </c>
      <c r="D35" s="33">
        <v>0</v>
      </c>
      <c r="E35" s="33">
        <v>0</v>
      </c>
      <c r="F35" s="33">
        <v>0</v>
      </c>
      <c r="G35" s="33">
        <v>0</v>
      </c>
      <c r="H35" s="34">
        <f t="shared" si="4"/>
        <v>0</v>
      </c>
      <c r="I35" s="35">
        <v>0</v>
      </c>
      <c r="J35" s="35">
        <v>0</v>
      </c>
      <c r="L35" s="36"/>
    </row>
    <row r="36" spans="1:12" s="24" customFormat="1" ht="15.75" outlineLevel="1" x14ac:dyDescent="0.25">
      <c r="A36" s="18"/>
      <c r="B36" s="31" t="s">
        <v>54</v>
      </c>
      <c r="C36" s="32" t="s">
        <v>55</v>
      </c>
      <c r="D36" s="33">
        <v>0</v>
      </c>
      <c r="E36" s="33">
        <v>0</v>
      </c>
      <c r="F36" s="33">
        <v>0</v>
      </c>
      <c r="G36" s="33">
        <v>0</v>
      </c>
      <c r="H36" s="34">
        <f>SUM(D36:G36)</f>
        <v>0</v>
      </c>
      <c r="I36" s="35">
        <v>0</v>
      </c>
      <c r="J36" s="35">
        <v>0</v>
      </c>
      <c r="L36" s="36"/>
    </row>
    <row r="37" spans="1:12" s="24" customFormat="1" ht="15.75" outlineLevel="1" x14ac:dyDescent="0.25">
      <c r="A37" s="18"/>
      <c r="B37" s="31" t="s">
        <v>54</v>
      </c>
      <c r="C37" s="32" t="s">
        <v>56</v>
      </c>
      <c r="D37" s="33">
        <v>0</v>
      </c>
      <c r="E37" s="33">
        <v>0</v>
      </c>
      <c r="F37" s="33">
        <v>0</v>
      </c>
      <c r="G37" s="33">
        <v>0</v>
      </c>
      <c r="H37" s="34">
        <f>SUM(D37:G37)</f>
        <v>0</v>
      </c>
      <c r="I37" s="35">
        <v>0</v>
      </c>
      <c r="J37" s="35">
        <v>0</v>
      </c>
      <c r="L37" s="36"/>
    </row>
    <row r="38" spans="1:12" s="24" customFormat="1" ht="15.75" outlineLevel="1" x14ac:dyDescent="0.25">
      <c r="A38" s="18"/>
      <c r="B38" s="31" t="s">
        <v>54</v>
      </c>
      <c r="C38" s="32" t="s">
        <v>57</v>
      </c>
      <c r="D38" s="33">
        <v>0</v>
      </c>
      <c r="E38" s="33">
        <v>0</v>
      </c>
      <c r="F38" s="33">
        <v>0</v>
      </c>
      <c r="G38" s="33">
        <v>0</v>
      </c>
      <c r="H38" s="34">
        <f t="shared" si="4"/>
        <v>0</v>
      </c>
      <c r="I38" s="35">
        <v>0</v>
      </c>
      <c r="J38" s="35">
        <v>0</v>
      </c>
      <c r="L38" s="36"/>
    </row>
    <row r="39" spans="1:12" s="24" customFormat="1" ht="15.75" outlineLevel="1" x14ac:dyDescent="0.25">
      <c r="A39" s="18"/>
      <c r="B39" s="31" t="s">
        <v>58</v>
      </c>
      <c r="C39" s="40" t="s">
        <v>59</v>
      </c>
      <c r="D39" s="38">
        <f>SUM(D40)</f>
        <v>0</v>
      </c>
      <c r="E39" s="38">
        <f>SUM(E40)</f>
        <v>0</v>
      </c>
      <c r="F39" s="38">
        <f>SUM(F40)</f>
        <v>0</v>
      </c>
      <c r="G39" s="38">
        <f>SUM(G40)</f>
        <v>0</v>
      </c>
      <c r="H39" s="34">
        <f>SUM(D39:G39)</f>
        <v>0</v>
      </c>
      <c r="I39" s="34">
        <f>SUM(I40)</f>
        <v>0</v>
      </c>
      <c r="J39" s="39">
        <f>SUM(J40)</f>
        <v>0</v>
      </c>
      <c r="L39" s="36"/>
    </row>
    <row r="40" spans="1:12" s="24" customFormat="1" outlineLevel="1" x14ac:dyDescent="0.25">
      <c r="A40" s="25"/>
      <c r="B40" s="31" t="s">
        <v>60</v>
      </c>
      <c r="C40" s="32" t="s">
        <v>61</v>
      </c>
      <c r="D40" s="33">
        <v>0</v>
      </c>
      <c r="E40" s="33">
        <v>0</v>
      </c>
      <c r="F40" s="33">
        <v>0</v>
      </c>
      <c r="G40" s="33">
        <v>0</v>
      </c>
      <c r="H40" s="34">
        <f t="shared" si="4"/>
        <v>0</v>
      </c>
      <c r="I40" s="35">
        <v>0</v>
      </c>
      <c r="J40" s="35">
        <v>0</v>
      </c>
      <c r="L40" s="36"/>
    </row>
    <row r="41" spans="1:12" s="24" customFormat="1" ht="15.75" outlineLevel="1" x14ac:dyDescent="0.25">
      <c r="A41" s="18"/>
      <c r="B41" s="31" t="s">
        <v>62</v>
      </c>
      <c r="C41" s="40" t="s">
        <v>63</v>
      </c>
      <c r="D41" s="38">
        <f>SUM(D42:D51)</f>
        <v>0</v>
      </c>
      <c r="E41" s="38">
        <f>SUM(E42:E51)</f>
        <v>0</v>
      </c>
      <c r="F41" s="38">
        <f t="shared" ref="F41:G41" si="5">SUM(F42:F51)</f>
        <v>0</v>
      </c>
      <c r="G41" s="38">
        <f t="shared" si="5"/>
        <v>0</v>
      </c>
      <c r="H41" s="34">
        <f t="shared" si="4"/>
        <v>0</v>
      </c>
      <c r="I41" s="39">
        <v>0</v>
      </c>
      <c r="J41" s="39">
        <f>SUM(J42:J49)</f>
        <v>0</v>
      </c>
      <c r="L41" s="36"/>
    </row>
    <row r="42" spans="1:12" s="24" customFormat="1" outlineLevel="1" x14ac:dyDescent="0.25">
      <c r="A42" s="25"/>
      <c r="B42" s="31" t="s">
        <v>64</v>
      </c>
      <c r="C42" s="32" t="s">
        <v>65</v>
      </c>
      <c r="D42" s="33">
        <v>0</v>
      </c>
      <c r="E42" s="33">
        <v>0</v>
      </c>
      <c r="F42" s="33">
        <v>0</v>
      </c>
      <c r="G42" s="33">
        <v>0</v>
      </c>
      <c r="H42" s="34">
        <f t="shared" si="4"/>
        <v>0</v>
      </c>
      <c r="I42" s="35">
        <v>0</v>
      </c>
      <c r="J42" s="35">
        <v>0</v>
      </c>
      <c r="L42" s="36"/>
    </row>
    <row r="43" spans="1:12" s="24" customFormat="1" ht="15.75" outlineLevel="1" x14ac:dyDescent="0.25">
      <c r="A43" s="18"/>
      <c r="B43" s="31" t="s">
        <v>66</v>
      </c>
      <c r="C43" s="32" t="s">
        <v>67</v>
      </c>
      <c r="D43" s="33">
        <v>0</v>
      </c>
      <c r="E43" s="33">
        <v>0</v>
      </c>
      <c r="F43" s="33">
        <v>0</v>
      </c>
      <c r="G43" s="33">
        <v>0</v>
      </c>
      <c r="H43" s="34">
        <f t="shared" si="4"/>
        <v>0</v>
      </c>
      <c r="I43" s="35">
        <v>0</v>
      </c>
      <c r="J43" s="35">
        <v>0</v>
      </c>
      <c r="L43" s="36"/>
    </row>
    <row r="44" spans="1:12" s="24" customFormat="1" outlineLevel="1" x14ac:dyDescent="0.25">
      <c r="A44" s="25"/>
      <c r="B44" s="31" t="s">
        <v>68</v>
      </c>
      <c r="C44" s="32" t="s">
        <v>69</v>
      </c>
      <c r="D44" s="33">
        <v>0</v>
      </c>
      <c r="E44" s="33">
        <v>0</v>
      </c>
      <c r="F44" s="33">
        <v>0</v>
      </c>
      <c r="G44" s="33">
        <v>0</v>
      </c>
      <c r="H44" s="34">
        <f t="shared" si="4"/>
        <v>0</v>
      </c>
      <c r="I44" s="35">
        <f>0</f>
        <v>0</v>
      </c>
      <c r="J44" s="35">
        <f>0</f>
        <v>0</v>
      </c>
      <c r="L44" s="36"/>
    </row>
    <row r="45" spans="1:12" s="24" customFormat="1" ht="15.75" outlineLevel="1" x14ac:dyDescent="0.25">
      <c r="A45" s="18"/>
      <c r="B45" s="31" t="s">
        <v>70</v>
      </c>
      <c r="C45" s="32" t="s">
        <v>71</v>
      </c>
      <c r="D45" s="33">
        <v>0</v>
      </c>
      <c r="E45" s="33">
        <v>0</v>
      </c>
      <c r="F45" s="33">
        <v>0</v>
      </c>
      <c r="G45" s="33">
        <v>0</v>
      </c>
      <c r="H45" s="34">
        <f t="shared" si="4"/>
        <v>0</v>
      </c>
      <c r="I45" s="35">
        <v>0</v>
      </c>
      <c r="J45" s="35">
        <v>0</v>
      </c>
      <c r="L45" s="36"/>
    </row>
    <row r="46" spans="1:12" s="24" customFormat="1" ht="15.75" outlineLevel="1" x14ac:dyDescent="0.25">
      <c r="A46" s="18"/>
      <c r="B46" s="31" t="s">
        <v>72</v>
      </c>
      <c r="C46" s="32" t="s">
        <v>73</v>
      </c>
      <c r="D46" s="33">
        <v>0</v>
      </c>
      <c r="E46" s="33">
        <v>0</v>
      </c>
      <c r="F46" s="33">
        <v>0</v>
      </c>
      <c r="G46" s="33">
        <v>0</v>
      </c>
      <c r="H46" s="34">
        <f>SUM(D46:G46)</f>
        <v>0</v>
      </c>
      <c r="I46" s="35">
        <v>0</v>
      </c>
      <c r="J46" s="35">
        <v>0</v>
      </c>
      <c r="L46" s="36"/>
    </row>
    <row r="47" spans="1:12" s="24" customFormat="1" ht="15.75" outlineLevel="1" x14ac:dyDescent="0.25">
      <c r="A47" s="18"/>
      <c r="B47" s="31" t="s">
        <v>74</v>
      </c>
      <c r="C47" s="32" t="s">
        <v>75</v>
      </c>
      <c r="D47" s="33">
        <v>0</v>
      </c>
      <c r="E47" s="33">
        <v>0</v>
      </c>
      <c r="F47" s="33">
        <v>0</v>
      </c>
      <c r="G47" s="33">
        <v>0</v>
      </c>
      <c r="H47" s="34">
        <f>SUM(D47:G47)</f>
        <v>0</v>
      </c>
      <c r="I47" s="35">
        <v>0</v>
      </c>
      <c r="J47" s="35">
        <v>0</v>
      </c>
      <c r="L47" s="36"/>
    </row>
    <row r="48" spans="1:12" s="24" customFormat="1" ht="15.75" outlineLevel="1" x14ac:dyDescent="0.25">
      <c r="A48" s="18"/>
      <c r="B48" s="31" t="s">
        <v>76</v>
      </c>
      <c r="C48" s="32" t="s">
        <v>77</v>
      </c>
      <c r="D48" s="33">
        <v>0</v>
      </c>
      <c r="E48" s="33">
        <v>0</v>
      </c>
      <c r="F48" s="33">
        <v>0</v>
      </c>
      <c r="G48" s="33">
        <v>0</v>
      </c>
      <c r="H48" s="34">
        <f>SUM(D48:G48)</f>
        <v>0</v>
      </c>
      <c r="I48" s="35">
        <v>0</v>
      </c>
      <c r="J48" s="35">
        <v>0</v>
      </c>
      <c r="L48" s="36"/>
    </row>
    <row r="49" spans="1:12" s="24" customFormat="1" ht="15.75" outlineLevel="1" x14ac:dyDescent="0.25">
      <c r="A49" s="18"/>
      <c r="B49" s="31" t="s">
        <v>78</v>
      </c>
      <c r="C49" s="32" t="s">
        <v>79</v>
      </c>
      <c r="D49" s="33">
        <v>0</v>
      </c>
      <c r="E49" s="33">
        <v>0</v>
      </c>
      <c r="F49" s="33">
        <v>0</v>
      </c>
      <c r="G49" s="33">
        <v>0</v>
      </c>
      <c r="H49" s="34">
        <f>SUM(D49:G49)</f>
        <v>0</v>
      </c>
      <c r="I49" s="35">
        <v>0</v>
      </c>
      <c r="J49" s="35">
        <v>0</v>
      </c>
      <c r="L49" s="36"/>
    </row>
    <row r="50" spans="1:12" s="24" customFormat="1" ht="15.75" outlineLevel="1" x14ac:dyDescent="0.25">
      <c r="A50" s="18"/>
      <c r="B50" s="31" t="s">
        <v>80</v>
      </c>
      <c r="C50" s="32" t="s">
        <v>81</v>
      </c>
      <c r="D50" s="33">
        <v>0</v>
      </c>
      <c r="E50" s="33">
        <v>0</v>
      </c>
      <c r="F50" s="33">
        <v>0</v>
      </c>
      <c r="G50" s="33">
        <v>0</v>
      </c>
      <c r="H50" s="34">
        <f t="shared" ref="H50:H51" si="6">SUM(D50:G50)</f>
        <v>0</v>
      </c>
      <c r="I50" s="35"/>
      <c r="J50" s="35"/>
      <c r="L50" s="36"/>
    </row>
    <row r="51" spans="1:12" s="24" customFormat="1" ht="15.75" outlineLevel="1" x14ac:dyDescent="0.25">
      <c r="A51" s="18"/>
      <c r="B51" s="31" t="s">
        <v>82</v>
      </c>
      <c r="C51" s="32" t="s">
        <v>83</v>
      </c>
      <c r="D51" s="33">
        <v>0</v>
      </c>
      <c r="E51" s="33">
        <v>0</v>
      </c>
      <c r="F51" s="33">
        <v>0</v>
      </c>
      <c r="G51" s="33">
        <v>0</v>
      </c>
      <c r="H51" s="34">
        <f t="shared" si="6"/>
        <v>0</v>
      </c>
      <c r="I51" s="35"/>
      <c r="J51" s="35"/>
      <c r="L51" s="36"/>
    </row>
    <row r="52" spans="1:12" s="24" customFormat="1" outlineLevel="1" x14ac:dyDescent="0.25">
      <c r="A52" s="25"/>
      <c r="B52" s="41"/>
      <c r="C52" s="32"/>
      <c r="D52" s="33"/>
      <c r="E52" s="33"/>
      <c r="F52" s="33"/>
      <c r="G52" s="33"/>
      <c r="H52" s="42"/>
      <c r="I52" s="35"/>
      <c r="J52" s="35"/>
      <c r="L52" s="36"/>
    </row>
    <row r="53" spans="1:12" s="24" customFormat="1" ht="15.75" outlineLevel="1" x14ac:dyDescent="0.25">
      <c r="A53" s="18"/>
      <c r="B53" s="19">
        <v>2</v>
      </c>
      <c r="C53" s="20" t="s">
        <v>84</v>
      </c>
      <c r="D53" s="21">
        <f>D54+D105+D136+D144+D153+D177+D183+D195+D206+D215+D221</f>
        <v>0</v>
      </c>
      <c r="E53" s="21">
        <f>E54+E105+E136+E144+E153+E177+E183+E195+E206+E215+E221</f>
        <v>0</v>
      </c>
      <c r="F53" s="21">
        <f>F54+F105+F136+F144+F153+F177+F183+F195+F206+F215+F221</f>
        <v>0</v>
      </c>
      <c r="G53" s="21">
        <f>G54+G105+G136+G144+G153+G177+G183+G195+G206+G215+G221</f>
        <v>0</v>
      </c>
      <c r="H53" s="22">
        <f>SUM(D53:G53)</f>
        <v>0</v>
      </c>
      <c r="I53" s="23">
        <f>I54+I105+I136+I144+I153+I177+I183+I195+I206+I215+I221</f>
        <v>0</v>
      </c>
      <c r="J53" s="23">
        <f>J54+J105+J136+J144+J153+J177+J183+J195+J206+J215+J221</f>
        <v>0</v>
      </c>
      <c r="L53" s="36"/>
    </row>
    <row r="54" spans="1:12" s="24" customFormat="1" outlineLevel="1" x14ac:dyDescent="0.25">
      <c r="A54" s="25"/>
      <c r="B54" s="26">
        <v>2.1</v>
      </c>
      <c r="C54" s="27" t="s">
        <v>85</v>
      </c>
      <c r="D54" s="28">
        <f>SUM(D55+D60+D76+D83+D97)</f>
        <v>0</v>
      </c>
      <c r="E54" s="28">
        <f>SUM(E55+E60+E76+E83+E97)</f>
        <v>0</v>
      </c>
      <c r="F54" s="28">
        <f>SUM(F55+F60+F76+F83+F97)</f>
        <v>0</v>
      </c>
      <c r="G54" s="28">
        <f>SUM(G55+G60+G76+G83+G97)</f>
        <v>0</v>
      </c>
      <c r="H54" s="29">
        <f>SUM(D54:G54)</f>
        <v>0</v>
      </c>
      <c r="I54" s="30">
        <f>SUM(I55+I60+I76+I83+I97)</f>
        <v>0</v>
      </c>
      <c r="J54" s="30">
        <f>SUM(J55+J60+J76+J83+J97)</f>
        <v>0</v>
      </c>
    </row>
    <row r="55" spans="1:12" s="43" customFormat="1" outlineLevel="1" x14ac:dyDescent="0.25">
      <c r="B55" s="31" t="s">
        <v>86</v>
      </c>
      <c r="C55" s="40" t="s">
        <v>87</v>
      </c>
      <c r="D55" s="38">
        <f>SUM(D56:D59)</f>
        <v>0</v>
      </c>
      <c r="E55" s="38">
        <f>SUM(E56:E59)</f>
        <v>0</v>
      </c>
      <c r="F55" s="38">
        <f>SUM(F56:F59)</f>
        <v>0</v>
      </c>
      <c r="G55" s="38">
        <f>SUM(G56:G59)</f>
        <v>0</v>
      </c>
      <c r="H55" s="34">
        <f>SUM(D55:G55)</f>
        <v>0</v>
      </c>
      <c r="I55" s="39">
        <f>SUM(I56:I59)</f>
        <v>0</v>
      </c>
      <c r="J55" s="39">
        <f>SUM(J56:J59)</f>
        <v>0</v>
      </c>
    </row>
    <row r="56" spans="1:12" s="24" customFormat="1" outlineLevel="1" x14ac:dyDescent="0.25">
      <c r="A56" s="25"/>
      <c r="B56" s="31" t="s">
        <v>88</v>
      </c>
      <c r="C56" s="32" t="s">
        <v>89</v>
      </c>
      <c r="D56" s="33">
        <v>0</v>
      </c>
      <c r="E56" s="33">
        <v>0</v>
      </c>
      <c r="F56" s="33">
        <v>0</v>
      </c>
      <c r="G56" s="33">
        <v>0</v>
      </c>
      <c r="H56" s="42">
        <f t="shared" ref="H56:H95" si="7">SUM(D56:G56)</f>
        <v>0</v>
      </c>
      <c r="I56" s="35">
        <v>0</v>
      </c>
      <c r="J56" s="35">
        <v>0</v>
      </c>
      <c r="L56" s="36"/>
    </row>
    <row r="57" spans="1:12" s="24" customFormat="1" outlineLevel="1" x14ac:dyDescent="0.25">
      <c r="A57" s="25"/>
      <c r="B57" s="31" t="s">
        <v>90</v>
      </c>
      <c r="C57" s="32" t="s">
        <v>91</v>
      </c>
      <c r="D57" s="33">
        <v>0</v>
      </c>
      <c r="E57" s="33">
        <v>0</v>
      </c>
      <c r="F57" s="33">
        <v>0</v>
      </c>
      <c r="G57" s="33">
        <v>0</v>
      </c>
      <c r="H57" s="42">
        <f t="shared" si="7"/>
        <v>0</v>
      </c>
      <c r="I57" s="35">
        <v>0</v>
      </c>
      <c r="J57" s="35">
        <v>0</v>
      </c>
      <c r="L57" s="36"/>
    </row>
    <row r="58" spans="1:12" s="24" customFormat="1" ht="15.75" outlineLevel="1" x14ac:dyDescent="0.25">
      <c r="A58" s="18"/>
      <c r="B58" s="31" t="s">
        <v>92</v>
      </c>
      <c r="C58" s="32" t="s">
        <v>93</v>
      </c>
      <c r="D58" s="33">
        <v>0</v>
      </c>
      <c r="E58" s="33">
        <v>0</v>
      </c>
      <c r="F58" s="33">
        <v>0</v>
      </c>
      <c r="G58" s="33">
        <v>0</v>
      </c>
      <c r="H58" s="42">
        <f t="shared" si="7"/>
        <v>0</v>
      </c>
      <c r="I58" s="35">
        <v>0</v>
      </c>
      <c r="J58" s="35">
        <v>0</v>
      </c>
      <c r="L58" s="36"/>
    </row>
    <row r="59" spans="1:12" s="24" customFormat="1" outlineLevel="1" x14ac:dyDescent="0.25">
      <c r="A59" s="25"/>
      <c r="B59" s="31" t="s">
        <v>94</v>
      </c>
      <c r="C59" s="32" t="s">
        <v>95</v>
      </c>
      <c r="D59" s="33">
        <v>0</v>
      </c>
      <c r="E59" s="33">
        <v>0</v>
      </c>
      <c r="F59" s="33">
        <v>0</v>
      </c>
      <c r="G59" s="33">
        <v>0</v>
      </c>
      <c r="H59" s="42">
        <f t="shared" si="7"/>
        <v>0</v>
      </c>
      <c r="I59" s="35">
        <v>0</v>
      </c>
      <c r="J59" s="35">
        <v>0</v>
      </c>
      <c r="L59" s="36"/>
    </row>
    <row r="60" spans="1:12" s="43" customFormat="1" outlineLevel="1" x14ac:dyDescent="0.25">
      <c r="B60" s="31" t="s">
        <v>96</v>
      </c>
      <c r="C60" s="40" t="s">
        <v>97</v>
      </c>
      <c r="D60" s="38">
        <f>SUM(D61:D75)</f>
        <v>0</v>
      </c>
      <c r="E60" s="38">
        <f>SUM(E61:E75)</f>
        <v>0</v>
      </c>
      <c r="F60" s="38">
        <f>SUM(F61:F75)</f>
        <v>0</v>
      </c>
      <c r="G60" s="38">
        <f>SUM(G61:G75)</f>
        <v>0</v>
      </c>
      <c r="H60" s="34">
        <f>SUM(D60:G60)</f>
        <v>0</v>
      </c>
      <c r="I60" s="38">
        <f>SUM(I61:I75)</f>
        <v>0</v>
      </c>
      <c r="J60" s="39">
        <f>SUM(J61:J75)</f>
        <v>0</v>
      </c>
    </row>
    <row r="61" spans="1:12" s="24" customFormat="1" outlineLevel="1" x14ac:dyDescent="0.25">
      <c r="A61" s="44"/>
      <c r="B61" s="31" t="s">
        <v>98</v>
      </c>
      <c r="C61" s="32" t="s">
        <v>99</v>
      </c>
      <c r="D61" s="33">
        <v>0</v>
      </c>
      <c r="E61" s="33">
        <v>0</v>
      </c>
      <c r="F61" s="33">
        <v>0</v>
      </c>
      <c r="G61" s="33">
        <v>0</v>
      </c>
      <c r="H61" s="42">
        <f t="shared" si="7"/>
        <v>0</v>
      </c>
      <c r="I61" s="35">
        <v>0</v>
      </c>
      <c r="J61" s="35">
        <v>0</v>
      </c>
      <c r="L61" s="36"/>
    </row>
    <row r="62" spans="1:12" s="24" customFormat="1" outlineLevel="1" x14ac:dyDescent="0.25">
      <c r="A62" s="25"/>
      <c r="B62" s="31" t="s">
        <v>100</v>
      </c>
      <c r="C62" s="32" t="s">
        <v>101</v>
      </c>
      <c r="D62" s="33">
        <v>0</v>
      </c>
      <c r="E62" s="33">
        <v>0</v>
      </c>
      <c r="F62" s="33">
        <v>0</v>
      </c>
      <c r="G62" s="33">
        <v>0</v>
      </c>
      <c r="H62" s="42">
        <f t="shared" si="7"/>
        <v>0</v>
      </c>
      <c r="I62" s="35">
        <v>0</v>
      </c>
      <c r="J62" s="35">
        <v>0</v>
      </c>
      <c r="L62" s="36"/>
    </row>
    <row r="63" spans="1:12" s="24" customFormat="1" outlineLevel="1" x14ac:dyDescent="0.25">
      <c r="A63" s="25"/>
      <c r="B63" s="31" t="s">
        <v>102</v>
      </c>
      <c r="C63" s="32" t="s">
        <v>103</v>
      </c>
      <c r="D63" s="33">
        <v>0</v>
      </c>
      <c r="E63" s="33">
        <v>0</v>
      </c>
      <c r="F63" s="33">
        <v>0</v>
      </c>
      <c r="G63" s="33">
        <v>0</v>
      </c>
      <c r="H63" s="42">
        <f t="shared" si="7"/>
        <v>0</v>
      </c>
      <c r="I63" s="35">
        <v>0</v>
      </c>
      <c r="J63" s="35">
        <v>0</v>
      </c>
      <c r="L63" s="36"/>
    </row>
    <row r="64" spans="1:12" s="24" customFormat="1" outlineLevel="1" x14ac:dyDescent="0.25">
      <c r="A64" s="25"/>
      <c r="B64" s="31" t="s">
        <v>104</v>
      </c>
      <c r="C64" s="32" t="s">
        <v>105</v>
      </c>
      <c r="D64" s="33">
        <v>0</v>
      </c>
      <c r="E64" s="33">
        <v>0</v>
      </c>
      <c r="F64" s="33">
        <v>0</v>
      </c>
      <c r="G64" s="33">
        <v>0</v>
      </c>
      <c r="H64" s="42">
        <f t="shared" si="7"/>
        <v>0</v>
      </c>
      <c r="I64" s="35">
        <v>0</v>
      </c>
      <c r="J64" s="35">
        <v>0</v>
      </c>
      <c r="L64" s="36"/>
    </row>
    <row r="65" spans="1:12" s="24" customFormat="1" outlineLevel="1" x14ac:dyDescent="0.25">
      <c r="A65" s="25"/>
      <c r="B65" s="31" t="s">
        <v>106</v>
      </c>
      <c r="C65" s="32" t="s">
        <v>107</v>
      </c>
      <c r="D65" s="33">
        <v>0</v>
      </c>
      <c r="E65" s="33">
        <v>0</v>
      </c>
      <c r="F65" s="33">
        <v>0</v>
      </c>
      <c r="G65" s="33">
        <v>0</v>
      </c>
      <c r="H65" s="42">
        <f t="shared" si="7"/>
        <v>0</v>
      </c>
      <c r="I65" s="35">
        <v>0</v>
      </c>
      <c r="J65" s="35">
        <v>0</v>
      </c>
      <c r="L65" s="36"/>
    </row>
    <row r="66" spans="1:12" s="24" customFormat="1" outlineLevel="1" x14ac:dyDescent="0.25">
      <c r="A66" s="25"/>
      <c r="B66" s="31" t="s">
        <v>108</v>
      </c>
      <c r="C66" s="32" t="s">
        <v>109</v>
      </c>
      <c r="D66" s="33">
        <v>0</v>
      </c>
      <c r="E66" s="33">
        <v>0</v>
      </c>
      <c r="F66" s="33">
        <v>0</v>
      </c>
      <c r="G66" s="33">
        <v>0</v>
      </c>
      <c r="H66" s="42">
        <f t="shared" si="7"/>
        <v>0</v>
      </c>
      <c r="I66" s="35">
        <v>0</v>
      </c>
      <c r="J66" s="35">
        <v>0</v>
      </c>
      <c r="L66" s="36"/>
    </row>
    <row r="67" spans="1:12" s="24" customFormat="1" outlineLevel="1" x14ac:dyDescent="0.25">
      <c r="B67" s="31" t="s">
        <v>110</v>
      </c>
      <c r="C67" s="32" t="s">
        <v>111</v>
      </c>
      <c r="D67" s="33">
        <v>0</v>
      </c>
      <c r="E67" s="33">
        <v>0</v>
      </c>
      <c r="F67" s="33">
        <v>0</v>
      </c>
      <c r="G67" s="33">
        <v>0</v>
      </c>
      <c r="H67" s="42">
        <f t="shared" si="7"/>
        <v>0</v>
      </c>
      <c r="I67" s="35">
        <v>0</v>
      </c>
      <c r="J67" s="35">
        <v>0</v>
      </c>
    </row>
    <row r="68" spans="1:12" s="24" customFormat="1" outlineLevel="1" x14ac:dyDescent="0.25">
      <c r="B68" s="31" t="s">
        <v>112</v>
      </c>
      <c r="C68" s="32" t="s">
        <v>113</v>
      </c>
      <c r="D68" s="33">
        <v>0</v>
      </c>
      <c r="E68" s="33">
        <v>0</v>
      </c>
      <c r="F68" s="33">
        <v>0</v>
      </c>
      <c r="G68" s="33">
        <v>0</v>
      </c>
      <c r="H68" s="42">
        <f t="shared" si="7"/>
        <v>0</v>
      </c>
      <c r="I68" s="35">
        <v>0</v>
      </c>
      <c r="J68" s="35">
        <v>0</v>
      </c>
    </row>
    <row r="69" spans="1:12" s="24" customFormat="1" outlineLevel="1" x14ac:dyDescent="0.25">
      <c r="B69" s="31" t="s">
        <v>114</v>
      </c>
      <c r="C69" s="32" t="s">
        <v>115</v>
      </c>
      <c r="D69" s="33">
        <v>0</v>
      </c>
      <c r="E69" s="33">
        <v>0</v>
      </c>
      <c r="F69" s="33">
        <v>0</v>
      </c>
      <c r="G69" s="33">
        <v>0</v>
      </c>
      <c r="H69" s="42">
        <f t="shared" si="7"/>
        <v>0</v>
      </c>
      <c r="I69" s="35">
        <v>0</v>
      </c>
      <c r="J69" s="35">
        <v>0</v>
      </c>
    </row>
    <row r="70" spans="1:12" s="24" customFormat="1" outlineLevel="1" x14ac:dyDescent="0.25">
      <c r="B70" s="31" t="s">
        <v>116</v>
      </c>
      <c r="C70" s="32" t="s">
        <v>117</v>
      </c>
      <c r="D70" s="33">
        <v>0</v>
      </c>
      <c r="E70" s="33">
        <v>0</v>
      </c>
      <c r="F70" s="33">
        <v>0</v>
      </c>
      <c r="G70" s="33">
        <v>0</v>
      </c>
      <c r="H70" s="42">
        <f t="shared" si="7"/>
        <v>0</v>
      </c>
      <c r="I70" s="35">
        <v>0</v>
      </c>
      <c r="J70" s="35">
        <v>0</v>
      </c>
    </row>
    <row r="71" spans="1:12" s="24" customFormat="1" outlineLevel="1" x14ac:dyDescent="0.25">
      <c r="B71" s="31" t="s">
        <v>118</v>
      </c>
      <c r="C71" s="32" t="s">
        <v>119</v>
      </c>
      <c r="D71" s="33">
        <v>0</v>
      </c>
      <c r="E71" s="33">
        <v>0</v>
      </c>
      <c r="F71" s="33">
        <v>0</v>
      </c>
      <c r="G71" s="33">
        <v>0</v>
      </c>
      <c r="H71" s="42">
        <f t="shared" si="7"/>
        <v>0</v>
      </c>
      <c r="I71" s="35">
        <v>0</v>
      </c>
      <c r="J71" s="35">
        <v>0</v>
      </c>
    </row>
    <row r="72" spans="1:12" s="24" customFormat="1" outlineLevel="1" x14ac:dyDescent="0.25">
      <c r="B72" s="31" t="s">
        <v>120</v>
      </c>
      <c r="C72" s="32" t="s">
        <v>121</v>
      </c>
      <c r="D72" s="33">
        <v>0</v>
      </c>
      <c r="E72" s="33">
        <v>0</v>
      </c>
      <c r="F72" s="33">
        <v>0</v>
      </c>
      <c r="G72" s="33">
        <v>0</v>
      </c>
      <c r="H72" s="42">
        <f t="shared" si="7"/>
        <v>0</v>
      </c>
      <c r="I72" s="35">
        <v>0</v>
      </c>
      <c r="J72" s="35">
        <v>0</v>
      </c>
    </row>
    <row r="73" spans="1:12" s="24" customFormat="1" outlineLevel="1" x14ac:dyDescent="0.25">
      <c r="B73" s="31" t="s">
        <v>122</v>
      </c>
      <c r="C73" s="32" t="s">
        <v>123</v>
      </c>
      <c r="D73" s="33">
        <v>0</v>
      </c>
      <c r="E73" s="33">
        <v>0</v>
      </c>
      <c r="F73" s="33">
        <v>0</v>
      </c>
      <c r="G73" s="33">
        <v>0</v>
      </c>
      <c r="H73" s="42">
        <f t="shared" si="7"/>
        <v>0</v>
      </c>
      <c r="I73" s="35">
        <v>0</v>
      </c>
      <c r="J73" s="35">
        <v>0</v>
      </c>
    </row>
    <row r="74" spans="1:12" s="24" customFormat="1" outlineLevel="1" x14ac:dyDescent="0.25">
      <c r="B74" s="31" t="s">
        <v>124</v>
      </c>
      <c r="C74" s="32" t="s">
        <v>125</v>
      </c>
      <c r="D74" s="33">
        <v>0</v>
      </c>
      <c r="E74" s="33">
        <v>0</v>
      </c>
      <c r="F74" s="33">
        <v>0</v>
      </c>
      <c r="G74" s="33">
        <v>0</v>
      </c>
      <c r="H74" s="42">
        <f>SUM(D74:G74)</f>
        <v>0</v>
      </c>
      <c r="I74" s="35">
        <v>0</v>
      </c>
      <c r="J74" s="35">
        <v>0</v>
      </c>
    </row>
    <row r="75" spans="1:12" s="24" customFormat="1" outlineLevel="1" x14ac:dyDescent="0.25">
      <c r="B75" s="31" t="s">
        <v>126</v>
      </c>
      <c r="C75" s="32" t="s">
        <v>127</v>
      </c>
      <c r="D75" s="33">
        <v>0</v>
      </c>
      <c r="E75" s="33">
        <v>0</v>
      </c>
      <c r="F75" s="33">
        <v>0</v>
      </c>
      <c r="G75" s="33">
        <v>0</v>
      </c>
      <c r="H75" s="42">
        <f>SUM(D75:G75)</f>
        <v>0</v>
      </c>
      <c r="I75" s="35">
        <v>0</v>
      </c>
      <c r="J75" s="35">
        <v>0</v>
      </c>
    </row>
    <row r="76" spans="1:12" s="43" customFormat="1" outlineLevel="1" x14ac:dyDescent="0.25">
      <c r="B76" s="31" t="s">
        <v>128</v>
      </c>
      <c r="C76" s="40" t="s">
        <v>129</v>
      </c>
      <c r="D76" s="38">
        <f>SUM(D77:D82)</f>
        <v>0</v>
      </c>
      <c r="E76" s="38">
        <f>SUM(E77:E82)</f>
        <v>0</v>
      </c>
      <c r="F76" s="38">
        <f>SUM(F77:F82)</f>
        <v>0</v>
      </c>
      <c r="G76" s="38">
        <f>SUM(G77:G82)</f>
        <v>0</v>
      </c>
      <c r="H76" s="34">
        <f t="shared" si="7"/>
        <v>0</v>
      </c>
      <c r="I76" s="38">
        <f>SUM(I77:I82)</f>
        <v>0</v>
      </c>
      <c r="J76" s="39">
        <f>SUM(J77:J82)</f>
        <v>0</v>
      </c>
    </row>
    <row r="77" spans="1:12" s="24" customFormat="1" x14ac:dyDescent="0.25">
      <c r="B77" s="26" t="s">
        <v>130</v>
      </c>
      <c r="C77" s="32" t="s">
        <v>131</v>
      </c>
      <c r="D77" s="33">
        <v>0</v>
      </c>
      <c r="E77" s="33">
        <v>0</v>
      </c>
      <c r="F77" s="33">
        <v>0</v>
      </c>
      <c r="G77" s="33">
        <v>0</v>
      </c>
      <c r="H77" s="42">
        <f t="shared" si="7"/>
        <v>0</v>
      </c>
      <c r="I77" s="35">
        <v>0</v>
      </c>
      <c r="J77" s="35">
        <v>0</v>
      </c>
    </row>
    <row r="78" spans="1:12" s="24" customFormat="1" x14ac:dyDescent="0.25">
      <c r="B78" s="26" t="s">
        <v>132</v>
      </c>
      <c r="C78" s="32" t="s">
        <v>133</v>
      </c>
      <c r="D78" s="33">
        <v>0</v>
      </c>
      <c r="E78" s="33">
        <v>0</v>
      </c>
      <c r="F78" s="33">
        <v>0</v>
      </c>
      <c r="G78" s="33">
        <v>0</v>
      </c>
      <c r="H78" s="42">
        <f t="shared" si="7"/>
        <v>0</v>
      </c>
      <c r="I78" s="35">
        <v>0</v>
      </c>
      <c r="J78" s="35">
        <v>0</v>
      </c>
    </row>
    <row r="79" spans="1:12" s="24" customFormat="1" x14ac:dyDescent="0.25">
      <c r="B79" s="26" t="s">
        <v>134</v>
      </c>
      <c r="C79" s="32" t="s">
        <v>135</v>
      </c>
      <c r="D79" s="33">
        <v>0</v>
      </c>
      <c r="E79" s="33">
        <v>0</v>
      </c>
      <c r="F79" s="33">
        <v>0</v>
      </c>
      <c r="G79" s="33">
        <v>0</v>
      </c>
      <c r="H79" s="42">
        <f t="shared" si="7"/>
        <v>0</v>
      </c>
      <c r="I79" s="35">
        <v>0</v>
      </c>
      <c r="J79" s="35">
        <v>0</v>
      </c>
    </row>
    <row r="80" spans="1:12" s="24" customFormat="1" x14ac:dyDescent="0.25">
      <c r="B80" s="26" t="s">
        <v>136</v>
      </c>
      <c r="C80" s="32" t="s">
        <v>137</v>
      </c>
      <c r="D80" s="33">
        <v>0</v>
      </c>
      <c r="E80" s="33">
        <v>0</v>
      </c>
      <c r="F80" s="33">
        <v>0</v>
      </c>
      <c r="G80" s="33">
        <v>0</v>
      </c>
      <c r="H80" s="42">
        <f t="shared" si="7"/>
        <v>0</v>
      </c>
      <c r="I80" s="35">
        <v>0</v>
      </c>
      <c r="J80" s="35">
        <v>0</v>
      </c>
    </row>
    <row r="81" spans="2:10" s="24" customFormat="1" x14ac:dyDescent="0.25">
      <c r="B81" s="26" t="s">
        <v>138</v>
      </c>
      <c r="C81" s="32" t="s">
        <v>139</v>
      </c>
      <c r="D81" s="33">
        <v>0</v>
      </c>
      <c r="E81" s="33">
        <v>0</v>
      </c>
      <c r="F81" s="33">
        <v>0</v>
      </c>
      <c r="G81" s="33">
        <v>0</v>
      </c>
      <c r="H81" s="42">
        <f t="shared" si="7"/>
        <v>0</v>
      </c>
      <c r="I81" s="35">
        <v>0</v>
      </c>
      <c r="J81" s="35">
        <v>0</v>
      </c>
    </row>
    <row r="82" spans="2:10" s="24" customFormat="1" x14ac:dyDescent="0.25">
      <c r="B82" s="26" t="s">
        <v>140</v>
      </c>
      <c r="C82" s="32" t="s">
        <v>141</v>
      </c>
      <c r="D82" s="33">
        <v>0</v>
      </c>
      <c r="E82" s="33">
        <v>0</v>
      </c>
      <c r="F82" s="33">
        <v>0</v>
      </c>
      <c r="G82" s="33">
        <v>0</v>
      </c>
      <c r="H82" s="42">
        <f t="shared" si="7"/>
        <v>0</v>
      </c>
      <c r="I82" s="35">
        <v>0</v>
      </c>
      <c r="J82" s="35">
        <v>0</v>
      </c>
    </row>
    <row r="83" spans="2:10" s="43" customFormat="1" x14ac:dyDescent="0.25">
      <c r="B83" s="31" t="s">
        <v>142</v>
      </c>
      <c r="C83" s="40" t="s">
        <v>143</v>
      </c>
      <c r="D83" s="45">
        <f>SUM(D84:D96)</f>
        <v>0</v>
      </c>
      <c r="E83" s="45">
        <f>SUM(E84:E96)</f>
        <v>0</v>
      </c>
      <c r="F83" s="45">
        <f>SUM(F84:F96)</f>
        <v>0</v>
      </c>
      <c r="G83" s="45">
        <f>SUM(G84:G96)</f>
        <v>0</v>
      </c>
      <c r="H83" s="34">
        <f t="shared" si="7"/>
        <v>0</v>
      </c>
      <c r="I83" s="45">
        <f>SUM(I84:I96)</f>
        <v>0</v>
      </c>
      <c r="J83" s="46">
        <f>SUM(J84:J96)</f>
        <v>0</v>
      </c>
    </row>
    <row r="84" spans="2:10" s="24" customFormat="1" x14ac:dyDescent="0.25">
      <c r="B84" s="31" t="s">
        <v>144</v>
      </c>
      <c r="C84" s="32" t="s">
        <v>145</v>
      </c>
      <c r="D84" s="33">
        <v>0</v>
      </c>
      <c r="E84" s="33">
        <v>0</v>
      </c>
      <c r="F84" s="33">
        <v>0</v>
      </c>
      <c r="G84" s="33">
        <v>0</v>
      </c>
      <c r="H84" s="42">
        <f t="shared" si="7"/>
        <v>0</v>
      </c>
      <c r="I84" s="35">
        <v>0</v>
      </c>
      <c r="J84" s="35">
        <v>0</v>
      </c>
    </row>
    <row r="85" spans="2:10" s="24" customFormat="1" x14ac:dyDescent="0.25">
      <c r="B85" s="31" t="s">
        <v>146</v>
      </c>
      <c r="C85" s="32" t="s">
        <v>147</v>
      </c>
      <c r="D85" s="33">
        <v>0</v>
      </c>
      <c r="E85" s="33">
        <v>0</v>
      </c>
      <c r="F85" s="33">
        <v>0</v>
      </c>
      <c r="G85" s="33">
        <v>0</v>
      </c>
      <c r="H85" s="42">
        <f t="shared" si="7"/>
        <v>0</v>
      </c>
      <c r="I85" s="35">
        <v>0</v>
      </c>
      <c r="J85" s="35">
        <v>0</v>
      </c>
    </row>
    <row r="86" spans="2:10" s="24" customFormat="1" x14ac:dyDescent="0.25">
      <c r="B86" s="31" t="s">
        <v>148</v>
      </c>
      <c r="C86" s="32" t="s">
        <v>149</v>
      </c>
      <c r="D86" s="33">
        <v>0</v>
      </c>
      <c r="E86" s="33">
        <v>0</v>
      </c>
      <c r="F86" s="33">
        <v>0</v>
      </c>
      <c r="G86" s="33">
        <v>0</v>
      </c>
      <c r="H86" s="42">
        <f t="shared" si="7"/>
        <v>0</v>
      </c>
      <c r="I86" s="35">
        <v>0</v>
      </c>
      <c r="J86" s="35">
        <v>0</v>
      </c>
    </row>
    <row r="87" spans="2:10" s="24" customFormat="1" x14ac:dyDescent="0.25">
      <c r="B87" s="31" t="s">
        <v>150</v>
      </c>
      <c r="C87" s="32" t="s">
        <v>151</v>
      </c>
      <c r="D87" s="33">
        <v>0</v>
      </c>
      <c r="E87" s="33">
        <v>0</v>
      </c>
      <c r="F87" s="33">
        <v>0</v>
      </c>
      <c r="G87" s="33">
        <v>0</v>
      </c>
      <c r="H87" s="42">
        <f t="shared" si="7"/>
        <v>0</v>
      </c>
      <c r="I87" s="35">
        <v>0</v>
      </c>
      <c r="J87" s="35">
        <v>0</v>
      </c>
    </row>
    <row r="88" spans="2:10" s="24" customFormat="1" x14ac:dyDescent="0.25">
      <c r="B88" s="31" t="s">
        <v>152</v>
      </c>
      <c r="C88" s="32" t="s">
        <v>153</v>
      </c>
      <c r="D88" s="33">
        <v>0</v>
      </c>
      <c r="E88" s="33">
        <v>0</v>
      </c>
      <c r="F88" s="33">
        <v>0</v>
      </c>
      <c r="G88" s="33">
        <v>0</v>
      </c>
      <c r="H88" s="42">
        <f t="shared" si="7"/>
        <v>0</v>
      </c>
      <c r="I88" s="35">
        <v>0</v>
      </c>
      <c r="J88" s="35">
        <v>0</v>
      </c>
    </row>
    <row r="89" spans="2:10" s="24" customFormat="1" x14ac:dyDescent="0.25">
      <c r="B89" s="31" t="s">
        <v>154</v>
      </c>
      <c r="C89" s="32" t="s">
        <v>155</v>
      </c>
      <c r="D89" s="33">
        <v>0</v>
      </c>
      <c r="E89" s="33">
        <v>0</v>
      </c>
      <c r="F89" s="33">
        <v>0</v>
      </c>
      <c r="G89" s="33">
        <v>0</v>
      </c>
      <c r="H89" s="42">
        <f t="shared" si="7"/>
        <v>0</v>
      </c>
      <c r="I89" s="35">
        <v>0</v>
      </c>
      <c r="J89" s="35">
        <v>0</v>
      </c>
    </row>
    <row r="90" spans="2:10" s="24" customFormat="1" x14ac:dyDescent="0.25">
      <c r="B90" s="31" t="s">
        <v>156</v>
      </c>
      <c r="C90" s="32" t="s">
        <v>157</v>
      </c>
      <c r="D90" s="33">
        <v>0</v>
      </c>
      <c r="E90" s="33">
        <v>0</v>
      </c>
      <c r="F90" s="33">
        <v>0</v>
      </c>
      <c r="G90" s="33">
        <v>0</v>
      </c>
      <c r="H90" s="42">
        <f t="shared" si="7"/>
        <v>0</v>
      </c>
      <c r="I90" s="35">
        <v>0</v>
      </c>
      <c r="J90" s="35">
        <v>0</v>
      </c>
    </row>
    <row r="91" spans="2:10" s="24" customFormat="1" x14ac:dyDescent="0.25">
      <c r="B91" s="31" t="s">
        <v>158</v>
      </c>
      <c r="C91" s="32" t="s">
        <v>159</v>
      </c>
      <c r="D91" s="33">
        <v>0</v>
      </c>
      <c r="E91" s="33">
        <v>0</v>
      </c>
      <c r="F91" s="33">
        <v>0</v>
      </c>
      <c r="G91" s="33">
        <v>0</v>
      </c>
      <c r="H91" s="42">
        <f t="shared" si="7"/>
        <v>0</v>
      </c>
      <c r="I91" s="35">
        <v>0</v>
      </c>
      <c r="J91" s="35">
        <v>0</v>
      </c>
    </row>
    <row r="92" spans="2:10" s="24" customFormat="1" x14ac:dyDescent="0.25">
      <c r="B92" s="31" t="s">
        <v>160</v>
      </c>
      <c r="C92" s="32" t="s">
        <v>161</v>
      </c>
      <c r="D92" s="33">
        <v>0</v>
      </c>
      <c r="E92" s="33">
        <v>0</v>
      </c>
      <c r="F92" s="33">
        <v>0</v>
      </c>
      <c r="G92" s="33">
        <v>0</v>
      </c>
      <c r="H92" s="42">
        <f t="shared" si="7"/>
        <v>0</v>
      </c>
      <c r="I92" s="35">
        <v>0</v>
      </c>
      <c r="J92" s="35">
        <v>0</v>
      </c>
    </row>
    <row r="93" spans="2:10" s="24" customFormat="1" x14ac:dyDescent="0.25">
      <c r="B93" s="31" t="s">
        <v>162</v>
      </c>
      <c r="C93" s="32" t="s">
        <v>163</v>
      </c>
      <c r="D93" s="33">
        <v>0</v>
      </c>
      <c r="E93" s="33">
        <v>0</v>
      </c>
      <c r="F93" s="33">
        <v>0</v>
      </c>
      <c r="G93" s="33">
        <v>0</v>
      </c>
      <c r="H93" s="42">
        <f t="shared" si="7"/>
        <v>0</v>
      </c>
      <c r="I93" s="35">
        <v>0</v>
      </c>
      <c r="J93" s="35">
        <v>0</v>
      </c>
    </row>
    <row r="94" spans="2:10" s="24" customFormat="1" x14ac:dyDescent="0.25">
      <c r="B94" s="31" t="s">
        <v>164</v>
      </c>
      <c r="C94" s="32" t="s">
        <v>165</v>
      </c>
      <c r="D94" s="33">
        <v>0</v>
      </c>
      <c r="E94" s="33">
        <v>0</v>
      </c>
      <c r="F94" s="33">
        <v>0</v>
      </c>
      <c r="G94" s="33">
        <v>0</v>
      </c>
      <c r="H94" s="42">
        <f t="shared" si="7"/>
        <v>0</v>
      </c>
      <c r="I94" s="35">
        <v>0</v>
      </c>
      <c r="J94" s="35">
        <v>0</v>
      </c>
    </row>
    <row r="95" spans="2:10" s="24" customFormat="1" x14ac:dyDescent="0.25">
      <c r="B95" s="31" t="s">
        <v>166</v>
      </c>
      <c r="C95" s="32" t="s">
        <v>167</v>
      </c>
      <c r="D95" s="33">
        <v>0</v>
      </c>
      <c r="E95" s="33">
        <v>0</v>
      </c>
      <c r="F95" s="33">
        <v>0</v>
      </c>
      <c r="G95" s="33">
        <v>0</v>
      </c>
      <c r="H95" s="42">
        <f t="shared" si="7"/>
        <v>0</v>
      </c>
      <c r="I95" s="35">
        <v>0</v>
      </c>
      <c r="J95" s="35">
        <v>0</v>
      </c>
    </row>
    <row r="96" spans="2:10" s="24" customFormat="1" x14ac:dyDescent="0.25">
      <c r="B96" s="31" t="s">
        <v>168</v>
      </c>
      <c r="C96" s="32" t="s">
        <v>169</v>
      </c>
      <c r="D96" s="33">
        <v>0</v>
      </c>
      <c r="E96" s="33">
        <v>0</v>
      </c>
      <c r="F96" s="33">
        <v>0</v>
      </c>
      <c r="G96" s="33">
        <v>0</v>
      </c>
      <c r="H96" s="42">
        <f>SUM(D96:G96)</f>
        <v>0</v>
      </c>
      <c r="I96" s="35">
        <v>0</v>
      </c>
      <c r="J96" s="35">
        <v>0</v>
      </c>
    </row>
    <row r="97" spans="2:12" s="43" customFormat="1" x14ac:dyDescent="0.25">
      <c r="B97" s="31" t="s">
        <v>170</v>
      </c>
      <c r="C97" s="40" t="s">
        <v>171</v>
      </c>
      <c r="D97" s="47">
        <f>SUM(D98:D103)</f>
        <v>0</v>
      </c>
      <c r="E97" s="47">
        <f>SUM(E98:E103)</f>
        <v>0</v>
      </c>
      <c r="F97" s="47">
        <f>SUM(F98:F103)</f>
        <v>0</v>
      </c>
      <c r="G97" s="47">
        <f>SUM(G98:G103)</f>
        <v>0</v>
      </c>
      <c r="H97" s="34">
        <f>SUM(D97:G97)</f>
        <v>0</v>
      </c>
      <c r="I97" s="47">
        <f>SUM(I98:I103)</f>
        <v>0</v>
      </c>
      <c r="J97" s="48">
        <f>SUM(J98:J103)</f>
        <v>0</v>
      </c>
    </row>
    <row r="98" spans="2:12" s="24" customFormat="1" x14ac:dyDescent="0.25">
      <c r="B98" s="31" t="s">
        <v>172</v>
      </c>
      <c r="C98" s="32" t="s">
        <v>173</v>
      </c>
      <c r="D98" s="33">
        <v>0</v>
      </c>
      <c r="E98" s="33">
        <v>0</v>
      </c>
      <c r="F98" s="33">
        <v>0</v>
      </c>
      <c r="G98" s="33">
        <v>0</v>
      </c>
      <c r="H98" s="34">
        <f>SUM(D98:G98)</f>
        <v>0</v>
      </c>
      <c r="I98" s="35">
        <v>0</v>
      </c>
      <c r="J98" s="35">
        <v>0</v>
      </c>
    </row>
    <row r="99" spans="2:12" s="24" customFormat="1" x14ac:dyDescent="0.25">
      <c r="B99" s="31" t="s">
        <v>174</v>
      </c>
      <c r="C99" s="32" t="s">
        <v>175</v>
      </c>
      <c r="D99" s="33">
        <v>0</v>
      </c>
      <c r="E99" s="33">
        <v>0</v>
      </c>
      <c r="F99" s="33">
        <v>0</v>
      </c>
      <c r="G99" s="33">
        <v>0</v>
      </c>
      <c r="H99" s="34">
        <f t="shared" ref="H99:H103" si="8">SUM(D99:G99)</f>
        <v>0</v>
      </c>
      <c r="I99" s="35">
        <v>0</v>
      </c>
      <c r="J99" s="35">
        <v>0</v>
      </c>
    </row>
    <row r="100" spans="2:12" s="24" customFormat="1" x14ac:dyDescent="0.25">
      <c r="B100" s="31" t="s">
        <v>176</v>
      </c>
      <c r="C100" s="32" t="s">
        <v>177</v>
      </c>
      <c r="D100" s="33">
        <v>0</v>
      </c>
      <c r="E100" s="33">
        <v>0</v>
      </c>
      <c r="F100" s="33">
        <v>0</v>
      </c>
      <c r="G100" s="33">
        <v>0</v>
      </c>
      <c r="H100" s="34">
        <f t="shared" si="8"/>
        <v>0</v>
      </c>
      <c r="I100" s="35">
        <v>0</v>
      </c>
      <c r="J100" s="35">
        <v>0</v>
      </c>
    </row>
    <row r="101" spans="2:12" s="24" customFormat="1" x14ac:dyDescent="0.25">
      <c r="B101" s="31" t="s">
        <v>178</v>
      </c>
      <c r="C101" s="32" t="s">
        <v>179</v>
      </c>
      <c r="D101" s="33">
        <v>0</v>
      </c>
      <c r="E101" s="33">
        <v>0</v>
      </c>
      <c r="F101" s="33">
        <v>0</v>
      </c>
      <c r="G101" s="33">
        <v>0</v>
      </c>
      <c r="H101" s="34">
        <f t="shared" si="8"/>
        <v>0</v>
      </c>
      <c r="I101" s="35">
        <v>0</v>
      </c>
      <c r="J101" s="35">
        <v>0</v>
      </c>
    </row>
    <row r="102" spans="2:12" s="24" customFormat="1" x14ac:dyDescent="0.25">
      <c r="B102" s="31" t="s">
        <v>180</v>
      </c>
      <c r="C102" s="32" t="s">
        <v>181</v>
      </c>
      <c r="D102" s="33">
        <v>0</v>
      </c>
      <c r="E102" s="33">
        <v>0</v>
      </c>
      <c r="F102" s="33">
        <v>0</v>
      </c>
      <c r="G102" s="33">
        <v>0</v>
      </c>
      <c r="H102" s="34">
        <f t="shared" si="8"/>
        <v>0</v>
      </c>
      <c r="I102" s="35">
        <v>0</v>
      </c>
      <c r="J102" s="35">
        <v>0</v>
      </c>
    </row>
    <row r="103" spans="2:12" s="24" customFormat="1" x14ac:dyDescent="0.25">
      <c r="B103" s="31" t="s">
        <v>182</v>
      </c>
      <c r="C103" s="32" t="s">
        <v>183</v>
      </c>
      <c r="D103" s="33">
        <v>0</v>
      </c>
      <c r="E103" s="33">
        <v>0</v>
      </c>
      <c r="F103" s="33">
        <v>0</v>
      </c>
      <c r="G103" s="33">
        <v>0</v>
      </c>
      <c r="H103" s="34">
        <f t="shared" si="8"/>
        <v>0</v>
      </c>
      <c r="I103" s="35">
        <v>0</v>
      </c>
      <c r="J103" s="35">
        <v>0</v>
      </c>
    </row>
    <row r="104" spans="2:12" s="24" customFormat="1" ht="12.6" customHeight="1" x14ac:dyDescent="0.25">
      <c r="B104" s="26"/>
      <c r="C104" s="37"/>
      <c r="D104" s="38"/>
      <c r="E104" s="38"/>
      <c r="F104" s="38"/>
      <c r="G104" s="38"/>
      <c r="H104" s="34"/>
      <c r="I104" s="39"/>
      <c r="J104" s="39"/>
    </row>
    <row r="105" spans="2:12" s="24" customFormat="1" outlineLevel="1" x14ac:dyDescent="0.25">
      <c r="B105" s="26">
        <v>2.2000000000000002</v>
      </c>
      <c r="C105" s="27" t="s">
        <v>184</v>
      </c>
      <c r="D105" s="28">
        <f>SUM(D106:D134)</f>
        <v>0</v>
      </c>
      <c r="E105" s="28">
        <f>SUM(E106:E134)</f>
        <v>0</v>
      </c>
      <c r="F105" s="28">
        <f>SUM(F106:F134)</f>
        <v>0</v>
      </c>
      <c r="G105" s="28">
        <f>SUM(G106:G134)</f>
        <v>0</v>
      </c>
      <c r="H105" s="29">
        <f>SUM(D105:G105)</f>
        <v>0</v>
      </c>
      <c r="I105" s="28">
        <f>SUM(I106:I134)</f>
        <v>0</v>
      </c>
      <c r="J105" s="30">
        <f>SUM(J106:J134)</f>
        <v>0</v>
      </c>
    </row>
    <row r="106" spans="2:12" s="24" customFormat="1" x14ac:dyDescent="0.25">
      <c r="B106" s="26" t="s">
        <v>185</v>
      </c>
      <c r="C106" s="32" t="s">
        <v>186</v>
      </c>
      <c r="D106" s="33">
        <v>0</v>
      </c>
      <c r="E106" s="33">
        <v>0</v>
      </c>
      <c r="F106" s="33">
        <v>0</v>
      </c>
      <c r="G106" s="33">
        <v>0</v>
      </c>
      <c r="H106" s="42">
        <f>SUM(D106:G106)</f>
        <v>0</v>
      </c>
      <c r="I106" s="35">
        <v>0</v>
      </c>
      <c r="J106" s="35">
        <v>0</v>
      </c>
    </row>
    <row r="107" spans="2:12" s="24" customFormat="1" x14ac:dyDescent="0.25">
      <c r="B107" s="26" t="s">
        <v>187</v>
      </c>
      <c r="C107" s="32" t="s">
        <v>188</v>
      </c>
      <c r="D107" s="33">
        <v>0</v>
      </c>
      <c r="E107" s="33">
        <v>0</v>
      </c>
      <c r="F107" s="33">
        <v>0</v>
      </c>
      <c r="G107" s="33">
        <v>0</v>
      </c>
      <c r="H107" s="42">
        <f t="shared" ref="H107:H133" si="9">SUM(D107:G107)</f>
        <v>0</v>
      </c>
      <c r="I107" s="35">
        <v>0</v>
      </c>
      <c r="J107" s="35">
        <v>0</v>
      </c>
    </row>
    <row r="108" spans="2:12" s="24" customFormat="1" x14ac:dyDescent="0.25">
      <c r="B108" s="26" t="s">
        <v>189</v>
      </c>
      <c r="C108" s="32" t="s">
        <v>190</v>
      </c>
      <c r="D108" s="33">
        <v>0</v>
      </c>
      <c r="E108" s="33">
        <v>0</v>
      </c>
      <c r="F108" s="33">
        <v>0</v>
      </c>
      <c r="G108" s="33">
        <v>0</v>
      </c>
      <c r="H108" s="42">
        <f t="shared" si="9"/>
        <v>0</v>
      </c>
      <c r="I108" s="35">
        <v>0</v>
      </c>
      <c r="J108" s="35">
        <v>0</v>
      </c>
    </row>
    <row r="109" spans="2:12" s="24" customFormat="1" x14ac:dyDescent="0.25">
      <c r="B109" s="26" t="s">
        <v>191</v>
      </c>
      <c r="C109" s="32" t="s">
        <v>192</v>
      </c>
      <c r="D109" s="33">
        <v>0</v>
      </c>
      <c r="E109" s="33">
        <v>0</v>
      </c>
      <c r="F109" s="33">
        <v>0</v>
      </c>
      <c r="G109" s="33">
        <v>0</v>
      </c>
      <c r="H109" s="42">
        <f t="shared" si="9"/>
        <v>0</v>
      </c>
      <c r="I109" s="35">
        <v>0</v>
      </c>
      <c r="J109" s="35">
        <v>0</v>
      </c>
    </row>
    <row r="110" spans="2:12" s="24" customFormat="1" outlineLevel="1" x14ac:dyDescent="0.25">
      <c r="B110" s="26" t="s">
        <v>193</v>
      </c>
      <c r="C110" s="32" t="s">
        <v>194</v>
      </c>
      <c r="D110" s="33">
        <v>0</v>
      </c>
      <c r="E110" s="33">
        <v>0</v>
      </c>
      <c r="F110" s="33">
        <v>0</v>
      </c>
      <c r="G110" s="33">
        <v>0</v>
      </c>
      <c r="H110" s="42">
        <f t="shared" si="9"/>
        <v>0</v>
      </c>
      <c r="I110" s="35">
        <v>0</v>
      </c>
      <c r="J110" s="35">
        <v>0</v>
      </c>
      <c r="L110" s="36"/>
    </row>
    <row r="111" spans="2:12" s="24" customFormat="1" x14ac:dyDescent="0.25">
      <c r="B111" s="26" t="s">
        <v>195</v>
      </c>
      <c r="C111" s="32" t="s">
        <v>196</v>
      </c>
      <c r="D111" s="33">
        <v>0</v>
      </c>
      <c r="E111" s="33">
        <v>0</v>
      </c>
      <c r="F111" s="33">
        <v>0</v>
      </c>
      <c r="G111" s="33">
        <v>0</v>
      </c>
      <c r="H111" s="42">
        <f t="shared" si="9"/>
        <v>0</v>
      </c>
      <c r="I111" s="35">
        <v>0</v>
      </c>
      <c r="J111" s="35">
        <v>0</v>
      </c>
    </row>
    <row r="112" spans="2:12" s="24" customFormat="1" x14ac:dyDescent="0.25">
      <c r="B112" s="26" t="s">
        <v>197</v>
      </c>
      <c r="C112" s="32" t="s">
        <v>198</v>
      </c>
      <c r="D112" s="33">
        <v>0</v>
      </c>
      <c r="E112" s="33">
        <v>0</v>
      </c>
      <c r="F112" s="33">
        <v>0</v>
      </c>
      <c r="G112" s="33">
        <v>0</v>
      </c>
      <c r="H112" s="42">
        <f t="shared" si="9"/>
        <v>0</v>
      </c>
      <c r="I112" s="35">
        <v>0</v>
      </c>
      <c r="J112" s="35">
        <v>0</v>
      </c>
    </row>
    <row r="113" spans="2:12" s="24" customFormat="1" x14ac:dyDescent="0.25">
      <c r="B113" s="26" t="s">
        <v>199</v>
      </c>
      <c r="C113" s="32" t="s">
        <v>200</v>
      </c>
      <c r="D113" s="33">
        <v>0</v>
      </c>
      <c r="E113" s="33">
        <v>0</v>
      </c>
      <c r="F113" s="33">
        <v>0</v>
      </c>
      <c r="G113" s="33">
        <v>0</v>
      </c>
      <c r="H113" s="42">
        <f t="shared" si="9"/>
        <v>0</v>
      </c>
      <c r="I113" s="35">
        <v>0</v>
      </c>
      <c r="J113" s="35">
        <v>0</v>
      </c>
    </row>
    <row r="114" spans="2:12" s="24" customFormat="1" x14ac:dyDescent="0.25">
      <c r="B114" s="26" t="s">
        <v>201</v>
      </c>
      <c r="C114" s="32" t="s">
        <v>202</v>
      </c>
      <c r="D114" s="33">
        <v>0</v>
      </c>
      <c r="E114" s="33">
        <v>0</v>
      </c>
      <c r="F114" s="33">
        <v>0</v>
      </c>
      <c r="G114" s="33">
        <v>0</v>
      </c>
      <c r="H114" s="42">
        <f t="shared" si="9"/>
        <v>0</v>
      </c>
      <c r="I114" s="35">
        <v>0</v>
      </c>
      <c r="J114" s="35">
        <v>0</v>
      </c>
    </row>
    <row r="115" spans="2:12" s="24" customFormat="1" x14ac:dyDescent="0.25">
      <c r="B115" s="26" t="s">
        <v>203</v>
      </c>
      <c r="C115" s="32" t="s">
        <v>204</v>
      </c>
      <c r="D115" s="33">
        <v>0</v>
      </c>
      <c r="E115" s="33">
        <v>0</v>
      </c>
      <c r="F115" s="33">
        <v>0</v>
      </c>
      <c r="G115" s="33">
        <v>0</v>
      </c>
      <c r="H115" s="42">
        <f t="shared" si="9"/>
        <v>0</v>
      </c>
      <c r="I115" s="35">
        <v>0</v>
      </c>
      <c r="J115" s="35">
        <v>0</v>
      </c>
    </row>
    <row r="116" spans="2:12" s="24" customFormat="1" x14ac:dyDescent="0.25">
      <c r="B116" s="26" t="s">
        <v>205</v>
      </c>
      <c r="C116" s="32" t="s">
        <v>206</v>
      </c>
      <c r="D116" s="33">
        <v>0</v>
      </c>
      <c r="E116" s="33">
        <v>0</v>
      </c>
      <c r="F116" s="33">
        <v>0</v>
      </c>
      <c r="G116" s="33">
        <v>0</v>
      </c>
      <c r="H116" s="42">
        <f t="shared" si="9"/>
        <v>0</v>
      </c>
      <c r="I116" s="35">
        <v>0</v>
      </c>
      <c r="J116" s="35">
        <v>0</v>
      </c>
    </row>
    <row r="117" spans="2:12" s="24" customFormat="1" x14ac:dyDescent="0.25">
      <c r="B117" s="26" t="s">
        <v>207</v>
      </c>
      <c r="C117" s="32" t="s">
        <v>208</v>
      </c>
      <c r="D117" s="33">
        <v>0</v>
      </c>
      <c r="E117" s="33">
        <v>0</v>
      </c>
      <c r="F117" s="33">
        <v>0</v>
      </c>
      <c r="G117" s="33">
        <v>0</v>
      </c>
      <c r="H117" s="42">
        <f t="shared" si="9"/>
        <v>0</v>
      </c>
      <c r="I117" s="35">
        <v>0</v>
      </c>
      <c r="J117" s="35">
        <v>0</v>
      </c>
    </row>
    <row r="118" spans="2:12" s="24" customFormat="1" x14ac:dyDescent="0.25">
      <c r="B118" s="26" t="s">
        <v>209</v>
      </c>
      <c r="C118" s="32" t="s">
        <v>210</v>
      </c>
      <c r="D118" s="33">
        <v>0</v>
      </c>
      <c r="E118" s="33">
        <v>0</v>
      </c>
      <c r="F118" s="33">
        <v>0</v>
      </c>
      <c r="G118" s="33">
        <v>0</v>
      </c>
      <c r="H118" s="42">
        <f t="shared" si="9"/>
        <v>0</v>
      </c>
      <c r="I118" s="35">
        <v>0</v>
      </c>
      <c r="J118" s="35">
        <v>0</v>
      </c>
    </row>
    <row r="119" spans="2:12" s="24" customFormat="1" outlineLevel="1" x14ac:dyDescent="0.25">
      <c r="B119" s="26" t="s">
        <v>211</v>
      </c>
      <c r="C119" s="32" t="s">
        <v>212</v>
      </c>
      <c r="D119" s="33">
        <v>0</v>
      </c>
      <c r="E119" s="33">
        <v>0</v>
      </c>
      <c r="F119" s="33">
        <v>0</v>
      </c>
      <c r="G119" s="33">
        <v>0</v>
      </c>
      <c r="H119" s="42">
        <f t="shared" si="9"/>
        <v>0</v>
      </c>
      <c r="I119" s="35">
        <v>0</v>
      </c>
      <c r="J119" s="35">
        <v>0</v>
      </c>
      <c r="L119" s="36"/>
    </row>
    <row r="120" spans="2:12" s="24" customFormat="1" x14ac:dyDescent="0.25">
      <c r="B120" s="26" t="s">
        <v>213</v>
      </c>
      <c r="C120" s="32" t="s">
        <v>214</v>
      </c>
      <c r="D120" s="33">
        <v>0</v>
      </c>
      <c r="E120" s="33">
        <v>0</v>
      </c>
      <c r="F120" s="33">
        <v>0</v>
      </c>
      <c r="G120" s="33">
        <v>0</v>
      </c>
      <c r="H120" s="42">
        <f t="shared" si="9"/>
        <v>0</v>
      </c>
      <c r="I120" s="35">
        <v>0</v>
      </c>
      <c r="J120" s="35">
        <v>0</v>
      </c>
    </row>
    <row r="121" spans="2:12" s="24" customFormat="1" x14ac:dyDescent="0.25">
      <c r="B121" s="26" t="s">
        <v>215</v>
      </c>
      <c r="C121" s="32" t="s">
        <v>216</v>
      </c>
      <c r="D121" s="33">
        <v>0</v>
      </c>
      <c r="E121" s="33">
        <v>0</v>
      </c>
      <c r="F121" s="33">
        <v>0</v>
      </c>
      <c r="G121" s="33">
        <v>0</v>
      </c>
      <c r="H121" s="42">
        <f t="shared" si="9"/>
        <v>0</v>
      </c>
      <c r="I121" s="35">
        <v>0</v>
      </c>
      <c r="J121" s="35">
        <v>0</v>
      </c>
    </row>
    <row r="122" spans="2:12" s="24" customFormat="1" x14ac:dyDescent="0.25">
      <c r="B122" s="26" t="s">
        <v>217</v>
      </c>
      <c r="C122" s="32" t="s">
        <v>218</v>
      </c>
      <c r="D122" s="33">
        <v>0</v>
      </c>
      <c r="E122" s="33">
        <v>0</v>
      </c>
      <c r="F122" s="33">
        <v>0</v>
      </c>
      <c r="G122" s="33">
        <v>0</v>
      </c>
      <c r="H122" s="42">
        <f t="shared" si="9"/>
        <v>0</v>
      </c>
      <c r="I122" s="35">
        <v>0</v>
      </c>
      <c r="J122" s="35">
        <v>0</v>
      </c>
    </row>
    <row r="123" spans="2:12" s="24" customFormat="1" x14ac:dyDescent="0.25">
      <c r="B123" s="26" t="s">
        <v>219</v>
      </c>
      <c r="C123" s="32" t="s">
        <v>220</v>
      </c>
      <c r="D123" s="33">
        <v>0</v>
      </c>
      <c r="E123" s="33">
        <v>0</v>
      </c>
      <c r="F123" s="33">
        <v>0</v>
      </c>
      <c r="G123" s="33">
        <v>0</v>
      </c>
      <c r="H123" s="42">
        <f t="shared" si="9"/>
        <v>0</v>
      </c>
      <c r="I123" s="35">
        <v>0</v>
      </c>
      <c r="J123" s="35">
        <v>0</v>
      </c>
    </row>
    <row r="124" spans="2:12" s="24" customFormat="1" x14ac:dyDescent="0.25">
      <c r="B124" s="26" t="s">
        <v>221</v>
      </c>
      <c r="C124" s="32" t="s">
        <v>222</v>
      </c>
      <c r="D124" s="33">
        <v>0</v>
      </c>
      <c r="E124" s="33">
        <v>0</v>
      </c>
      <c r="F124" s="33">
        <v>0</v>
      </c>
      <c r="G124" s="33">
        <v>0</v>
      </c>
      <c r="H124" s="42">
        <f t="shared" si="9"/>
        <v>0</v>
      </c>
      <c r="I124" s="35">
        <v>0</v>
      </c>
      <c r="J124" s="35">
        <v>0</v>
      </c>
    </row>
    <row r="125" spans="2:12" s="24" customFormat="1" x14ac:dyDescent="0.25">
      <c r="B125" s="26" t="s">
        <v>223</v>
      </c>
      <c r="C125" s="32" t="s">
        <v>224</v>
      </c>
      <c r="D125" s="33">
        <v>0</v>
      </c>
      <c r="E125" s="33">
        <v>0</v>
      </c>
      <c r="F125" s="33">
        <v>0</v>
      </c>
      <c r="G125" s="33">
        <v>0</v>
      </c>
      <c r="H125" s="42">
        <f t="shared" si="9"/>
        <v>0</v>
      </c>
      <c r="I125" s="35">
        <v>0</v>
      </c>
      <c r="J125" s="35">
        <v>0</v>
      </c>
    </row>
    <row r="126" spans="2:12" s="24" customFormat="1" x14ac:dyDescent="0.25">
      <c r="B126" s="26" t="s">
        <v>225</v>
      </c>
      <c r="C126" s="32" t="s">
        <v>226</v>
      </c>
      <c r="D126" s="33">
        <v>0</v>
      </c>
      <c r="E126" s="33">
        <v>0</v>
      </c>
      <c r="F126" s="33">
        <v>0</v>
      </c>
      <c r="G126" s="33">
        <v>0</v>
      </c>
      <c r="H126" s="42">
        <f t="shared" si="9"/>
        <v>0</v>
      </c>
      <c r="I126" s="35">
        <v>0</v>
      </c>
      <c r="J126" s="35">
        <v>0</v>
      </c>
    </row>
    <row r="127" spans="2:12" s="24" customFormat="1" x14ac:dyDescent="0.25">
      <c r="B127" s="26" t="s">
        <v>227</v>
      </c>
      <c r="C127" s="32" t="s">
        <v>228</v>
      </c>
      <c r="D127" s="33">
        <v>0</v>
      </c>
      <c r="E127" s="33">
        <v>0</v>
      </c>
      <c r="F127" s="33">
        <v>0</v>
      </c>
      <c r="G127" s="33">
        <v>0</v>
      </c>
      <c r="H127" s="42">
        <f t="shared" si="9"/>
        <v>0</v>
      </c>
      <c r="I127" s="35">
        <v>0</v>
      </c>
      <c r="J127" s="35">
        <v>0</v>
      </c>
    </row>
    <row r="128" spans="2:12" s="24" customFormat="1" x14ac:dyDescent="0.25">
      <c r="B128" s="26" t="s">
        <v>229</v>
      </c>
      <c r="C128" s="32" t="s">
        <v>230</v>
      </c>
      <c r="D128" s="33">
        <v>0</v>
      </c>
      <c r="E128" s="33">
        <v>0</v>
      </c>
      <c r="F128" s="33">
        <v>0</v>
      </c>
      <c r="G128" s="33">
        <v>0</v>
      </c>
      <c r="H128" s="42">
        <f t="shared" si="9"/>
        <v>0</v>
      </c>
      <c r="I128" s="35">
        <v>0</v>
      </c>
      <c r="J128" s="35">
        <v>0</v>
      </c>
    </row>
    <row r="129" spans="2:11" s="24" customFormat="1" x14ac:dyDescent="0.25">
      <c r="B129" s="26" t="s">
        <v>231</v>
      </c>
      <c r="C129" s="32" t="s">
        <v>232</v>
      </c>
      <c r="D129" s="33">
        <v>0</v>
      </c>
      <c r="E129" s="33">
        <v>0</v>
      </c>
      <c r="F129" s="33">
        <v>0</v>
      </c>
      <c r="G129" s="33">
        <v>0</v>
      </c>
      <c r="H129" s="42">
        <f t="shared" si="9"/>
        <v>0</v>
      </c>
      <c r="I129" s="35">
        <v>0</v>
      </c>
      <c r="J129" s="35">
        <v>0</v>
      </c>
    </row>
    <row r="130" spans="2:11" s="24" customFormat="1" x14ac:dyDescent="0.25">
      <c r="B130" s="26" t="s">
        <v>233</v>
      </c>
      <c r="C130" s="32" t="s">
        <v>234</v>
      </c>
      <c r="D130" s="33">
        <v>0</v>
      </c>
      <c r="E130" s="33">
        <v>0</v>
      </c>
      <c r="F130" s="33">
        <v>0</v>
      </c>
      <c r="G130" s="33">
        <v>0</v>
      </c>
      <c r="H130" s="42">
        <f t="shared" si="9"/>
        <v>0</v>
      </c>
      <c r="I130" s="35">
        <v>0</v>
      </c>
      <c r="J130" s="35">
        <v>0</v>
      </c>
    </row>
    <row r="131" spans="2:11" s="24" customFormat="1" x14ac:dyDescent="0.25">
      <c r="B131" s="26" t="s">
        <v>235</v>
      </c>
      <c r="C131" s="32" t="s">
        <v>236</v>
      </c>
      <c r="D131" s="33">
        <v>0</v>
      </c>
      <c r="E131" s="33">
        <v>0</v>
      </c>
      <c r="F131" s="33">
        <v>0</v>
      </c>
      <c r="G131" s="33">
        <v>0</v>
      </c>
      <c r="H131" s="42">
        <f t="shared" si="9"/>
        <v>0</v>
      </c>
      <c r="I131" s="35">
        <v>0</v>
      </c>
      <c r="J131" s="35">
        <v>0</v>
      </c>
    </row>
    <row r="132" spans="2:11" s="24" customFormat="1" x14ac:dyDescent="0.25">
      <c r="B132" s="26" t="s">
        <v>237</v>
      </c>
      <c r="C132" s="32" t="s">
        <v>238</v>
      </c>
      <c r="D132" s="33">
        <v>0</v>
      </c>
      <c r="E132" s="33">
        <v>0</v>
      </c>
      <c r="F132" s="33">
        <v>0</v>
      </c>
      <c r="G132" s="33">
        <v>0</v>
      </c>
      <c r="H132" s="42">
        <f t="shared" si="9"/>
        <v>0</v>
      </c>
      <c r="I132" s="35">
        <v>0</v>
      </c>
      <c r="J132" s="35">
        <v>0</v>
      </c>
    </row>
    <row r="133" spans="2:11" s="24" customFormat="1" x14ac:dyDescent="0.25">
      <c r="B133" s="26" t="s">
        <v>239</v>
      </c>
      <c r="C133" s="32" t="s">
        <v>240</v>
      </c>
      <c r="D133" s="33">
        <v>0</v>
      </c>
      <c r="E133" s="33">
        <v>0</v>
      </c>
      <c r="F133" s="33">
        <v>0</v>
      </c>
      <c r="G133" s="33">
        <v>0</v>
      </c>
      <c r="H133" s="42">
        <f t="shared" si="9"/>
        <v>0</v>
      </c>
      <c r="I133" s="35">
        <v>0</v>
      </c>
      <c r="J133" s="35">
        <v>0</v>
      </c>
    </row>
    <row r="134" spans="2:11" s="24" customFormat="1" x14ac:dyDescent="0.25">
      <c r="B134" s="26" t="s">
        <v>241</v>
      </c>
      <c r="C134" s="32" t="s">
        <v>242</v>
      </c>
      <c r="D134" s="33">
        <v>0</v>
      </c>
      <c r="E134" s="33">
        <v>0</v>
      </c>
      <c r="F134" s="33">
        <v>0</v>
      </c>
      <c r="G134" s="33">
        <v>0</v>
      </c>
      <c r="H134" s="42">
        <f>SUM(D134:G134)</f>
        <v>0</v>
      </c>
      <c r="I134" s="35">
        <v>0</v>
      </c>
      <c r="J134" s="35">
        <v>0</v>
      </c>
    </row>
    <row r="135" spans="2:11" s="24" customFormat="1" ht="12.6" customHeight="1" x14ac:dyDescent="0.25">
      <c r="B135" s="26"/>
      <c r="C135" s="37"/>
      <c r="D135" s="38"/>
      <c r="E135" s="38"/>
      <c r="F135" s="38"/>
      <c r="G135" s="38"/>
      <c r="H135" s="34"/>
      <c r="I135" s="39"/>
      <c r="J135" s="39"/>
    </row>
    <row r="136" spans="2:11" s="24" customFormat="1" outlineLevel="1" x14ac:dyDescent="0.25">
      <c r="B136" s="26">
        <v>2.2999999999999998</v>
      </c>
      <c r="C136" s="27" t="s">
        <v>243</v>
      </c>
      <c r="D136" s="28">
        <f>SUM(D137:D142)</f>
        <v>0</v>
      </c>
      <c r="E136" s="28">
        <f>SUM(E137:E142)</f>
        <v>0</v>
      </c>
      <c r="F136" s="28">
        <f>SUM(F137:F142)</f>
        <v>0</v>
      </c>
      <c r="G136" s="28">
        <f>SUM(G137:G142)</f>
        <v>0</v>
      </c>
      <c r="H136" s="29">
        <f>SUM(D136:G136)</f>
        <v>0</v>
      </c>
      <c r="I136" s="30">
        <f>SUM(I137:I142)</f>
        <v>0</v>
      </c>
      <c r="J136" s="30">
        <f>SUM(J137:J142)</f>
        <v>0</v>
      </c>
      <c r="K136" s="38"/>
    </row>
    <row r="137" spans="2:11" s="24" customFormat="1" x14ac:dyDescent="0.25">
      <c r="B137" s="31" t="s">
        <v>244</v>
      </c>
      <c r="C137" s="49" t="s">
        <v>245</v>
      </c>
      <c r="D137" s="33">
        <v>0</v>
      </c>
      <c r="E137" s="33">
        <v>0</v>
      </c>
      <c r="F137" s="33">
        <v>0</v>
      </c>
      <c r="G137" s="33">
        <v>0</v>
      </c>
      <c r="H137" s="42">
        <f>SUM(D137:G137)</f>
        <v>0</v>
      </c>
      <c r="I137" s="35">
        <v>0</v>
      </c>
      <c r="J137" s="35">
        <v>0</v>
      </c>
      <c r="K137" s="38"/>
    </row>
    <row r="138" spans="2:11" s="24" customFormat="1" x14ac:dyDescent="0.25">
      <c r="B138" s="31" t="s">
        <v>246</v>
      </c>
      <c r="C138" s="49" t="s">
        <v>247</v>
      </c>
      <c r="D138" s="33">
        <v>0</v>
      </c>
      <c r="E138" s="33">
        <v>0</v>
      </c>
      <c r="F138" s="33">
        <v>0</v>
      </c>
      <c r="G138" s="33">
        <v>0</v>
      </c>
      <c r="H138" s="42">
        <f>SUM(D138:G138)</f>
        <v>0</v>
      </c>
      <c r="I138" s="35">
        <v>0</v>
      </c>
      <c r="J138" s="35">
        <v>0</v>
      </c>
      <c r="K138" s="38"/>
    </row>
    <row r="139" spans="2:11" s="24" customFormat="1" x14ac:dyDescent="0.25">
      <c r="B139" s="31" t="s">
        <v>248</v>
      </c>
      <c r="C139" s="49" t="s">
        <v>249</v>
      </c>
      <c r="D139" s="33">
        <v>0</v>
      </c>
      <c r="E139" s="33">
        <v>0</v>
      </c>
      <c r="F139" s="33">
        <v>0</v>
      </c>
      <c r="G139" s="33">
        <v>0</v>
      </c>
      <c r="H139" s="42">
        <f>SUM(D139:G139)</f>
        <v>0</v>
      </c>
      <c r="I139" s="35">
        <v>0</v>
      </c>
      <c r="J139" s="35">
        <v>0</v>
      </c>
      <c r="K139" s="38"/>
    </row>
    <row r="140" spans="2:11" s="24" customFormat="1" x14ac:dyDescent="0.25">
      <c r="B140" s="31" t="s">
        <v>250</v>
      </c>
      <c r="C140" s="49" t="s">
        <v>251</v>
      </c>
      <c r="D140" s="33">
        <v>0</v>
      </c>
      <c r="E140" s="33">
        <v>0</v>
      </c>
      <c r="F140" s="33">
        <v>0</v>
      </c>
      <c r="G140" s="33">
        <v>0</v>
      </c>
      <c r="H140" s="42">
        <f>SUM(D140:G140)</f>
        <v>0</v>
      </c>
      <c r="I140" s="35">
        <v>0</v>
      </c>
      <c r="J140" s="35">
        <v>0</v>
      </c>
      <c r="K140" s="38"/>
    </row>
    <row r="141" spans="2:11" s="24" customFormat="1" x14ac:dyDescent="0.25">
      <c r="B141" s="31" t="s">
        <v>252</v>
      </c>
      <c r="C141" s="49" t="s">
        <v>253</v>
      </c>
      <c r="D141" s="33">
        <v>0</v>
      </c>
      <c r="E141" s="33">
        <v>0</v>
      </c>
      <c r="F141" s="33">
        <v>0</v>
      </c>
      <c r="G141" s="33">
        <v>0</v>
      </c>
      <c r="H141" s="42">
        <f t="shared" ref="H141" si="10">SUM(D141:G141)</f>
        <v>0</v>
      </c>
      <c r="I141" s="35">
        <v>0</v>
      </c>
      <c r="J141" s="35">
        <v>0</v>
      </c>
      <c r="K141" s="38"/>
    </row>
    <row r="142" spans="2:11" s="24" customFormat="1" x14ac:dyDescent="0.25">
      <c r="B142" s="31" t="s">
        <v>254</v>
      </c>
      <c r="C142" s="49" t="s">
        <v>255</v>
      </c>
      <c r="D142" s="33">
        <v>0</v>
      </c>
      <c r="E142" s="33">
        <v>0</v>
      </c>
      <c r="F142" s="33">
        <v>0</v>
      </c>
      <c r="G142" s="33">
        <v>0</v>
      </c>
      <c r="H142" s="42">
        <f>SUM(D142:G142)</f>
        <v>0</v>
      </c>
      <c r="I142" s="35">
        <v>0</v>
      </c>
      <c r="J142" s="35">
        <v>0</v>
      </c>
      <c r="K142" s="38"/>
    </row>
    <row r="143" spans="2:11" s="24" customFormat="1" ht="12.6" customHeight="1" x14ac:dyDescent="0.25">
      <c r="B143" s="26"/>
      <c r="C143" s="37"/>
      <c r="D143" s="38"/>
      <c r="E143" s="38"/>
      <c r="F143" s="38"/>
      <c r="G143" s="38"/>
      <c r="H143" s="34"/>
      <c r="I143" s="39"/>
      <c r="J143" s="39"/>
    </row>
    <row r="144" spans="2:11" s="24" customFormat="1" outlineLevel="1" x14ac:dyDescent="0.25">
      <c r="B144" s="26">
        <v>2.4</v>
      </c>
      <c r="C144" s="27" t="s">
        <v>256</v>
      </c>
      <c r="D144" s="28">
        <f>SUM(D145:D151)</f>
        <v>0</v>
      </c>
      <c r="E144" s="28">
        <f>SUM(E145:E151)</f>
        <v>0</v>
      </c>
      <c r="F144" s="28">
        <f>SUM(F145:F151)</f>
        <v>0</v>
      </c>
      <c r="G144" s="28">
        <f>SUM(G145:G151)</f>
        <v>0</v>
      </c>
      <c r="H144" s="29">
        <f>SUM(D144:G144)</f>
        <v>0</v>
      </c>
      <c r="I144" s="30">
        <f>SUM(I145:I151)</f>
        <v>0</v>
      </c>
      <c r="J144" s="30">
        <f>SUM(J145:J151)</f>
        <v>0</v>
      </c>
    </row>
    <row r="145" spans="2:10" s="24" customFormat="1" x14ac:dyDescent="0.25">
      <c r="B145" s="31" t="s">
        <v>257</v>
      </c>
      <c r="C145" s="32" t="s">
        <v>258</v>
      </c>
      <c r="D145" s="33">
        <v>0</v>
      </c>
      <c r="E145" s="33">
        <v>0</v>
      </c>
      <c r="F145" s="33">
        <v>0</v>
      </c>
      <c r="G145" s="33">
        <v>0</v>
      </c>
      <c r="H145" s="42">
        <f t="shared" ref="H145:H151" si="11">SUM(D145:G145)</f>
        <v>0</v>
      </c>
      <c r="I145" s="35">
        <v>0</v>
      </c>
      <c r="J145" s="35">
        <v>0</v>
      </c>
    </row>
    <row r="146" spans="2:10" s="24" customFormat="1" x14ac:dyDescent="0.25">
      <c r="B146" s="31" t="s">
        <v>259</v>
      </c>
      <c r="C146" s="32" t="s">
        <v>260</v>
      </c>
      <c r="D146" s="33">
        <v>0</v>
      </c>
      <c r="E146" s="33">
        <v>0</v>
      </c>
      <c r="F146" s="33">
        <v>0</v>
      </c>
      <c r="G146" s="33">
        <v>0</v>
      </c>
      <c r="H146" s="42">
        <f t="shared" si="11"/>
        <v>0</v>
      </c>
      <c r="I146" s="35">
        <v>0</v>
      </c>
      <c r="J146" s="35">
        <v>0</v>
      </c>
    </row>
    <row r="147" spans="2:10" s="24" customFormat="1" x14ac:dyDescent="0.25">
      <c r="B147" s="31" t="s">
        <v>261</v>
      </c>
      <c r="C147" s="32" t="s">
        <v>262</v>
      </c>
      <c r="D147" s="33">
        <v>0</v>
      </c>
      <c r="E147" s="33">
        <v>0</v>
      </c>
      <c r="F147" s="33">
        <v>0</v>
      </c>
      <c r="G147" s="33">
        <v>0</v>
      </c>
      <c r="H147" s="42">
        <f t="shared" si="11"/>
        <v>0</v>
      </c>
      <c r="I147" s="35">
        <v>0</v>
      </c>
      <c r="J147" s="35">
        <v>0</v>
      </c>
    </row>
    <row r="148" spans="2:10" s="24" customFormat="1" x14ac:dyDescent="0.25">
      <c r="B148" s="31" t="s">
        <v>263</v>
      </c>
      <c r="C148" s="32" t="s">
        <v>264</v>
      </c>
      <c r="D148" s="33">
        <v>0</v>
      </c>
      <c r="E148" s="33">
        <v>0</v>
      </c>
      <c r="F148" s="33">
        <v>0</v>
      </c>
      <c r="G148" s="33">
        <v>0</v>
      </c>
      <c r="H148" s="42">
        <f t="shared" si="11"/>
        <v>0</v>
      </c>
      <c r="I148" s="35">
        <v>0</v>
      </c>
      <c r="J148" s="35">
        <v>0</v>
      </c>
    </row>
    <row r="149" spans="2:10" s="24" customFormat="1" x14ac:dyDescent="0.25">
      <c r="B149" s="31" t="s">
        <v>265</v>
      </c>
      <c r="C149" s="32" t="s">
        <v>266</v>
      </c>
      <c r="D149" s="33">
        <v>0</v>
      </c>
      <c r="E149" s="33">
        <v>0</v>
      </c>
      <c r="F149" s="33">
        <v>0</v>
      </c>
      <c r="G149" s="33">
        <v>0</v>
      </c>
      <c r="H149" s="42">
        <f t="shared" si="11"/>
        <v>0</v>
      </c>
      <c r="I149" s="35">
        <v>0</v>
      </c>
      <c r="J149" s="35">
        <v>0</v>
      </c>
    </row>
    <row r="150" spans="2:10" s="24" customFormat="1" x14ac:dyDescent="0.25">
      <c r="B150" s="31" t="s">
        <v>267</v>
      </c>
      <c r="C150" s="32" t="s">
        <v>268</v>
      </c>
      <c r="D150" s="33">
        <v>0</v>
      </c>
      <c r="E150" s="33">
        <v>0</v>
      </c>
      <c r="F150" s="33">
        <v>0</v>
      </c>
      <c r="G150" s="33">
        <v>0</v>
      </c>
      <c r="H150" s="42">
        <f t="shared" si="11"/>
        <v>0</v>
      </c>
      <c r="I150" s="35">
        <v>0</v>
      </c>
      <c r="J150" s="35">
        <v>0</v>
      </c>
    </row>
    <row r="151" spans="2:10" s="24" customFormat="1" x14ac:dyDescent="0.25">
      <c r="B151" s="31" t="s">
        <v>269</v>
      </c>
      <c r="C151" s="32" t="s">
        <v>270</v>
      </c>
      <c r="D151" s="33">
        <v>0</v>
      </c>
      <c r="E151" s="33">
        <v>0</v>
      </c>
      <c r="F151" s="33">
        <v>0</v>
      </c>
      <c r="G151" s="33">
        <v>0</v>
      </c>
      <c r="H151" s="42">
        <f t="shared" si="11"/>
        <v>0</v>
      </c>
      <c r="I151" s="35">
        <v>0</v>
      </c>
      <c r="J151" s="35">
        <v>0</v>
      </c>
    </row>
    <row r="152" spans="2:10" s="24" customFormat="1" ht="12.6" customHeight="1" x14ac:dyDescent="0.25">
      <c r="B152" s="26"/>
      <c r="C152" s="37"/>
      <c r="D152" s="38"/>
      <c r="E152" s="38"/>
      <c r="F152" s="38"/>
      <c r="G152" s="38"/>
      <c r="H152" s="34"/>
      <c r="I152" s="39"/>
      <c r="J152" s="39"/>
    </row>
    <row r="153" spans="2:10" s="24" customFormat="1" outlineLevel="1" x14ac:dyDescent="0.25">
      <c r="B153" s="26">
        <v>2.5</v>
      </c>
      <c r="C153" s="27" t="s">
        <v>271</v>
      </c>
      <c r="D153" s="28">
        <f>SUM(D154:D175)</f>
        <v>0</v>
      </c>
      <c r="E153" s="28">
        <f>SUM(E154:E175)</f>
        <v>0</v>
      </c>
      <c r="F153" s="28">
        <f>SUM(F154:F175)</f>
        <v>0</v>
      </c>
      <c r="G153" s="28">
        <f>SUM(G154:G175)</f>
        <v>0</v>
      </c>
      <c r="H153" s="29">
        <f>SUM(D153:G153)</f>
        <v>0</v>
      </c>
      <c r="I153" s="28">
        <f>SUM(I154:I175)</f>
        <v>0</v>
      </c>
      <c r="J153" s="30">
        <f>SUM(J154:J175)</f>
        <v>0</v>
      </c>
    </row>
    <row r="154" spans="2:10" s="24" customFormat="1" x14ac:dyDescent="0.25">
      <c r="B154" s="31" t="s">
        <v>272</v>
      </c>
      <c r="C154" s="32" t="s">
        <v>273</v>
      </c>
      <c r="D154" s="33">
        <v>0</v>
      </c>
      <c r="E154" s="33">
        <v>0</v>
      </c>
      <c r="F154" s="33">
        <v>0</v>
      </c>
      <c r="G154" s="33">
        <v>0</v>
      </c>
      <c r="H154" s="42">
        <f t="shared" ref="H154:H174" si="12">SUM(D154:G154)</f>
        <v>0</v>
      </c>
      <c r="I154" s="35">
        <v>0</v>
      </c>
      <c r="J154" s="35">
        <v>0</v>
      </c>
    </row>
    <row r="155" spans="2:10" s="24" customFormat="1" x14ac:dyDescent="0.25">
      <c r="B155" s="31" t="s">
        <v>274</v>
      </c>
      <c r="C155" s="32" t="s">
        <v>275</v>
      </c>
      <c r="D155" s="33">
        <v>0</v>
      </c>
      <c r="E155" s="33">
        <v>0</v>
      </c>
      <c r="F155" s="33">
        <v>0</v>
      </c>
      <c r="G155" s="33">
        <v>0</v>
      </c>
      <c r="H155" s="42">
        <f t="shared" si="12"/>
        <v>0</v>
      </c>
      <c r="I155" s="35">
        <v>0</v>
      </c>
      <c r="J155" s="35">
        <v>0</v>
      </c>
    </row>
    <row r="156" spans="2:10" s="24" customFormat="1" x14ac:dyDescent="0.25">
      <c r="B156" s="31" t="s">
        <v>276</v>
      </c>
      <c r="C156" s="32" t="s">
        <v>277</v>
      </c>
      <c r="D156" s="33">
        <v>0</v>
      </c>
      <c r="E156" s="33">
        <v>0</v>
      </c>
      <c r="F156" s="33">
        <v>0</v>
      </c>
      <c r="G156" s="33">
        <v>0</v>
      </c>
      <c r="H156" s="42">
        <f t="shared" si="12"/>
        <v>0</v>
      </c>
      <c r="I156" s="35">
        <v>0</v>
      </c>
      <c r="J156" s="35">
        <v>0</v>
      </c>
    </row>
    <row r="157" spans="2:10" s="24" customFormat="1" x14ac:dyDescent="0.25">
      <c r="B157" s="31" t="s">
        <v>278</v>
      </c>
      <c r="C157" s="32" t="s">
        <v>279</v>
      </c>
      <c r="D157" s="33">
        <v>0</v>
      </c>
      <c r="E157" s="33">
        <v>0</v>
      </c>
      <c r="F157" s="33">
        <v>0</v>
      </c>
      <c r="G157" s="33">
        <v>0</v>
      </c>
      <c r="H157" s="42">
        <f t="shared" si="12"/>
        <v>0</v>
      </c>
      <c r="I157" s="35">
        <v>0</v>
      </c>
      <c r="J157" s="35">
        <v>0</v>
      </c>
    </row>
    <row r="158" spans="2:10" s="24" customFormat="1" x14ac:dyDescent="0.25">
      <c r="B158" s="31" t="s">
        <v>280</v>
      </c>
      <c r="C158" s="32" t="s">
        <v>281</v>
      </c>
      <c r="D158" s="33">
        <v>0</v>
      </c>
      <c r="E158" s="33">
        <v>0</v>
      </c>
      <c r="F158" s="33">
        <v>0</v>
      </c>
      <c r="G158" s="33">
        <v>0</v>
      </c>
      <c r="H158" s="42">
        <f t="shared" si="12"/>
        <v>0</v>
      </c>
      <c r="I158" s="35">
        <v>0</v>
      </c>
      <c r="J158" s="35">
        <v>0</v>
      </c>
    </row>
    <row r="159" spans="2:10" s="24" customFormat="1" x14ac:dyDescent="0.25">
      <c r="B159" s="31" t="s">
        <v>282</v>
      </c>
      <c r="C159" s="32" t="s">
        <v>283</v>
      </c>
      <c r="D159" s="33">
        <v>0</v>
      </c>
      <c r="E159" s="33">
        <v>0</v>
      </c>
      <c r="F159" s="33">
        <v>0</v>
      </c>
      <c r="G159" s="33">
        <v>0</v>
      </c>
      <c r="H159" s="42">
        <f t="shared" si="12"/>
        <v>0</v>
      </c>
      <c r="I159" s="35">
        <v>0</v>
      </c>
      <c r="J159" s="35">
        <v>0</v>
      </c>
    </row>
    <row r="160" spans="2:10" s="24" customFormat="1" x14ac:dyDescent="0.25">
      <c r="B160" s="31" t="s">
        <v>284</v>
      </c>
      <c r="C160" s="32" t="s">
        <v>285</v>
      </c>
      <c r="D160" s="33">
        <v>0</v>
      </c>
      <c r="E160" s="33">
        <v>0</v>
      </c>
      <c r="F160" s="33">
        <v>0</v>
      </c>
      <c r="G160" s="33">
        <v>0</v>
      </c>
      <c r="H160" s="42">
        <f t="shared" si="12"/>
        <v>0</v>
      </c>
      <c r="I160" s="35">
        <v>0</v>
      </c>
      <c r="J160" s="35">
        <v>0</v>
      </c>
    </row>
    <row r="161" spans="2:10" s="24" customFormat="1" x14ac:dyDescent="0.25">
      <c r="B161" s="31" t="s">
        <v>286</v>
      </c>
      <c r="C161" s="32" t="s">
        <v>287</v>
      </c>
      <c r="D161" s="33">
        <v>0</v>
      </c>
      <c r="E161" s="33">
        <v>0</v>
      </c>
      <c r="F161" s="33">
        <v>0</v>
      </c>
      <c r="G161" s="33">
        <v>0</v>
      </c>
      <c r="H161" s="42">
        <f t="shared" si="12"/>
        <v>0</v>
      </c>
      <c r="I161" s="35">
        <v>0</v>
      </c>
      <c r="J161" s="35">
        <v>0</v>
      </c>
    </row>
    <row r="162" spans="2:10" s="24" customFormat="1" x14ac:dyDescent="0.25">
      <c r="B162" s="31" t="s">
        <v>288</v>
      </c>
      <c r="C162" s="32" t="s">
        <v>289</v>
      </c>
      <c r="D162" s="33">
        <v>0</v>
      </c>
      <c r="E162" s="33">
        <v>0</v>
      </c>
      <c r="F162" s="33">
        <v>0</v>
      </c>
      <c r="G162" s="33">
        <v>0</v>
      </c>
      <c r="H162" s="42">
        <f t="shared" si="12"/>
        <v>0</v>
      </c>
      <c r="I162" s="35">
        <v>0</v>
      </c>
      <c r="J162" s="35">
        <v>0</v>
      </c>
    </row>
    <row r="163" spans="2:10" s="24" customFormat="1" x14ac:dyDescent="0.25">
      <c r="B163" s="31" t="s">
        <v>290</v>
      </c>
      <c r="C163" s="32" t="s">
        <v>291</v>
      </c>
      <c r="D163" s="33">
        <v>0</v>
      </c>
      <c r="E163" s="33">
        <v>0</v>
      </c>
      <c r="F163" s="33">
        <v>0</v>
      </c>
      <c r="G163" s="33">
        <v>0</v>
      </c>
      <c r="H163" s="42">
        <f t="shared" si="12"/>
        <v>0</v>
      </c>
      <c r="I163" s="35">
        <v>0</v>
      </c>
      <c r="J163" s="35">
        <v>0</v>
      </c>
    </row>
    <row r="164" spans="2:10" s="24" customFormat="1" x14ac:dyDescent="0.25">
      <c r="B164" s="31" t="s">
        <v>292</v>
      </c>
      <c r="C164" s="32" t="s">
        <v>293</v>
      </c>
      <c r="D164" s="33">
        <v>0</v>
      </c>
      <c r="E164" s="33">
        <v>0</v>
      </c>
      <c r="F164" s="33">
        <v>0</v>
      </c>
      <c r="G164" s="33">
        <v>0</v>
      </c>
      <c r="H164" s="42">
        <f t="shared" si="12"/>
        <v>0</v>
      </c>
      <c r="I164" s="35">
        <v>0</v>
      </c>
      <c r="J164" s="35">
        <v>0</v>
      </c>
    </row>
    <row r="165" spans="2:10" s="24" customFormat="1" x14ac:dyDescent="0.25">
      <c r="B165" s="31" t="s">
        <v>294</v>
      </c>
      <c r="C165" s="32" t="s">
        <v>295</v>
      </c>
      <c r="D165" s="33">
        <v>0</v>
      </c>
      <c r="E165" s="33">
        <v>0</v>
      </c>
      <c r="F165" s="33">
        <v>0</v>
      </c>
      <c r="G165" s="33">
        <v>0</v>
      </c>
      <c r="H165" s="42">
        <f t="shared" si="12"/>
        <v>0</v>
      </c>
      <c r="I165" s="35">
        <v>0</v>
      </c>
      <c r="J165" s="35">
        <v>0</v>
      </c>
    </row>
    <row r="166" spans="2:10" s="24" customFormat="1" x14ac:dyDescent="0.25">
      <c r="B166" s="31" t="s">
        <v>296</v>
      </c>
      <c r="C166" s="32" t="s">
        <v>297</v>
      </c>
      <c r="D166" s="33">
        <v>0</v>
      </c>
      <c r="E166" s="33">
        <v>0</v>
      </c>
      <c r="F166" s="33">
        <v>0</v>
      </c>
      <c r="G166" s="33">
        <v>0</v>
      </c>
      <c r="H166" s="42">
        <f t="shared" si="12"/>
        <v>0</v>
      </c>
      <c r="I166" s="35">
        <v>0</v>
      </c>
      <c r="J166" s="35">
        <v>0</v>
      </c>
    </row>
    <row r="167" spans="2:10" s="24" customFormat="1" x14ac:dyDescent="0.25">
      <c r="B167" s="31" t="s">
        <v>298</v>
      </c>
      <c r="C167" s="32" t="s">
        <v>299</v>
      </c>
      <c r="D167" s="33">
        <v>0</v>
      </c>
      <c r="E167" s="33">
        <v>0</v>
      </c>
      <c r="F167" s="33">
        <v>0</v>
      </c>
      <c r="G167" s="33">
        <v>0</v>
      </c>
      <c r="H167" s="42">
        <f t="shared" si="12"/>
        <v>0</v>
      </c>
      <c r="I167" s="35">
        <v>0</v>
      </c>
      <c r="J167" s="35">
        <v>0</v>
      </c>
    </row>
    <row r="168" spans="2:10" s="24" customFormat="1" x14ac:dyDescent="0.25">
      <c r="B168" s="31" t="s">
        <v>300</v>
      </c>
      <c r="C168" s="32" t="s">
        <v>301</v>
      </c>
      <c r="D168" s="33">
        <v>0</v>
      </c>
      <c r="E168" s="33">
        <v>0</v>
      </c>
      <c r="F168" s="33">
        <v>0</v>
      </c>
      <c r="G168" s="33">
        <v>0</v>
      </c>
      <c r="H168" s="42">
        <f t="shared" si="12"/>
        <v>0</v>
      </c>
      <c r="I168" s="35">
        <v>0</v>
      </c>
      <c r="J168" s="35">
        <v>0</v>
      </c>
    </row>
    <row r="169" spans="2:10" s="24" customFormat="1" x14ac:dyDescent="0.25">
      <c r="B169" s="31" t="s">
        <v>302</v>
      </c>
      <c r="C169" s="32" t="s">
        <v>303</v>
      </c>
      <c r="D169" s="33">
        <v>0</v>
      </c>
      <c r="E169" s="33">
        <v>0</v>
      </c>
      <c r="F169" s="33">
        <v>0</v>
      </c>
      <c r="G169" s="33">
        <v>0</v>
      </c>
      <c r="H169" s="42">
        <f t="shared" si="12"/>
        <v>0</v>
      </c>
      <c r="I169" s="35">
        <v>0</v>
      </c>
      <c r="J169" s="35">
        <v>0</v>
      </c>
    </row>
    <row r="170" spans="2:10" s="24" customFormat="1" x14ac:dyDescent="0.25">
      <c r="B170" s="31" t="s">
        <v>304</v>
      </c>
      <c r="C170" s="32" t="s">
        <v>305</v>
      </c>
      <c r="D170" s="33">
        <v>0</v>
      </c>
      <c r="E170" s="33">
        <v>0</v>
      </c>
      <c r="F170" s="33">
        <v>0</v>
      </c>
      <c r="G170" s="33">
        <v>0</v>
      </c>
      <c r="H170" s="42">
        <f t="shared" si="12"/>
        <v>0</v>
      </c>
      <c r="I170" s="35">
        <v>0</v>
      </c>
      <c r="J170" s="35">
        <v>0</v>
      </c>
    </row>
    <row r="171" spans="2:10" s="24" customFormat="1" x14ac:dyDescent="0.25">
      <c r="B171" s="31" t="s">
        <v>306</v>
      </c>
      <c r="C171" s="32" t="s">
        <v>307</v>
      </c>
      <c r="D171" s="33">
        <v>0</v>
      </c>
      <c r="E171" s="33">
        <v>0</v>
      </c>
      <c r="F171" s="33">
        <v>0</v>
      </c>
      <c r="G171" s="33">
        <v>0</v>
      </c>
      <c r="H171" s="42">
        <f t="shared" si="12"/>
        <v>0</v>
      </c>
      <c r="I171" s="35">
        <v>0</v>
      </c>
      <c r="J171" s="35">
        <v>0</v>
      </c>
    </row>
    <row r="172" spans="2:10" s="24" customFormat="1" x14ac:dyDescent="0.25">
      <c r="B172" s="31" t="s">
        <v>308</v>
      </c>
      <c r="C172" s="32" t="s">
        <v>309</v>
      </c>
      <c r="D172" s="33">
        <v>0</v>
      </c>
      <c r="E172" s="33">
        <v>0</v>
      </c>
      <c r="F172" s="33">
        <v>0</v>
      </c>
      <c r="G172" s="33">
        <v>0</v>
      </c>
      <c r="H172" s="42">
        <f t="shared" si="12"/>
        <v>0</v>
      </c>
      <c r="I172" s="35">
        <v>0</v>
      </c>
      <c r="J172" s="35">
        <v>0</v>
      </c>
    </row>
    <row r="173" spans="2:10" s="24" customFormat="1" x14ac:dyDescent="0.25">
      <c r="B173" s="31" t="s">
        <v>310</v>
      </c>
      <c r="C173" s="32" t="s">
        <v>311</v>
      </c>
      <c r="D173" s="33">
        <v>0</v>
      </c>
      <c r="E173" s="33">
        <v>0</v>
      </c>
      <c r="F173" s="33">
        <v>0</v>
      </c>
      <c r="G173" s="33">
        <v>0</v>
      </c>
      <c r="H173" s="42">
        <f t="shared" si="12"/>
        <v>0</v>
      </c>
      <c r="I173" s="35">
        <v>0</v>
      </c>
      <c r="J173" s="35">
        <v>0</v>
      </c>
    </row>
    <row r="174" spans="2:10" s="24" customFormat="1" x14ac:dyDescent="0.25">
      <c r="B174" s="31" t="s">
        <v>312</v>
      </c>
      <c r="C174" s="32" t="s">
        <v>313</v>
      </c>
      <c r="D174" s="33">
        <v>0</v>
      </c>
      <c r="E174" s="33">
        <v>0</v>
      </c>
      <c r="F174" s="33">
        <v>0</v>
      </c>
      <c r="G174" s="33">
        <v>0</v>
      </c>
      <c r="H174" s="42">
        <f t="shared" si="12"/>
        <v>0</v>
      </c>
      <c r="I174" s="35">
        <v>0</v>
      </c>
      <c r="J174" s="35">
        <v>0</v>
      </c>
    </row>
    <row r="175" spans="2:10" s="24" customFormat="1" x14ac:dyDescent="0.25">
      <c r="B175" s="31" t="s">
        <v>314</v>
      </c>
      <c r="C175" s="32" t="s">
        <v>315</v>
      </c>
      <c r="D175" s="33">
        <v>0</v>
      </c>
      <c r="E175" s="33">
        <v>0</v>
      </c>
      <c r="F175" s="33">
        <v>0</v>
      </c>
      <c r="G175" s="33">
        <v>0</v>
      </c>
      <c r="H175" s="42">
        <f>SUM(D175:G175)</f>
        <v>0</v>
      </c>
      <c r="I175" s="35">
        <v>0</v>
      </c>
      <c r="J175" s="35">
        <v>0</v>
      </c>
    </row>
    <row r="176" spans="2:10" s="24" customFormat="1" ht="12.6" customHeight="1" x14ac:dyDescent="0.25">
      <c r="B176" s="26"/>
      <c r="C176" s="37"/>
      <c r="D176" s="38"/>
      <c r="E176" s="38"/>
      <c r="F176" s="38"/>
      <c r="G176" s="38"/>
      <c r="H176" s="34"/>
      <c r="I176" s="39"/>
      <c r="J176" s="39"/>
    </row>
    <row r="177" spans="2:10" s="24" customFormat="1" outlineLevel="1" x14ac:dyDescent="0.25">
      <c r="B177" s="26">
        <v>2.6</v>
      </c>
      <c r="C177" s="27" t="s">
        <v>316</v>
      </c>
      <c r="D177" s="28">
        <f>SUM(D178:D181)</f>
        <v>0</v>
      </c>
      <c r="E177" s="28">
        <f>SUM(E178:E181)</f>
        <v>0</v>
      </c>
      <c r="F177" s="28">
        <f>SUM(F178:F181)</f>
        <v>0</v>
      </c>
      <c r="G177" s="28">
        <f>SUM(G178:G181)</f>
        <v>0</v>
      </c>
      <c r="H177" s="29">
        <f>SUM(D177:G177)</f>
        <v>0</v>
      </c>
      <c r="I177" s="28">
        <f>SUM(I178:I181)</f>
        <v>0</v>
      </c>
      <c r="J177" s="30">
        <f>SUM(J178:J181)</f>
        <v>0</v>
      </c>
    </row>
    <row r="178" spans="2:10" s="24" customFormat="1" x14ac:dyDescent="0.25">
      <c r="B178" s="31" t="s">
        <v>317</v>
      </c>
      <c r="C178" s="32" t="s">
        <v>318</v>
      </c>
      <c r="D178" s="33">
        <v>0</v>
      </c>
      <c r="E178" s="33">
        <v>0</v>
      </c>
      <c r="F178" s="33">
        <v>0</v>
      </c>
      <c r="G178" s="33">
        <v>0</v>
      </c>
      <c r="H178" s="42">
        <f>SUM(D178:G178)</f>
        <v>0</v>
      </c>
      <c r="I178" s="35">
        <v>0</v>
      </c>
      <c r="J178" s="35">
        <v>0</v>
      </c>
    </row>
    <row r="179" spans="2:10" s="24" customFormat="1" x14ac:dyDescent="0.25">
      <c r="B179" s="31" t="s">
        <v>319</v>
      </c>
      <c r="C179" s="32" t="s">
        <v>320</v>
      </c>
      <c r="D179" s="33">
        <v>0</v>
      </c>
      <c r="E179" s="33">
        <v>0</v>
      </c>
      <c r="F179" s="33">
        <v>0</v>
      </c>
      <c r="G179" s="33">
        <v>0</v>
      </c>
      <c r="H179" s="42">
        <f>SUM(D179:G179)</f>
        <v>0</v>
      </c>
      <c r="I179" s="35">
        <v>0</v>
      </c>
      <c r="J179" s="35">
        <v>0</v>
      </c>
    </row>
    <row r="180" spans="2:10" s="24" customFormat="1" x14ac:dyDescent="0.25">
      <c r="B180" s="31" t="s">
        <v>321</v>
      </c>
      <c r="C180" s="32" t="s">
        <v>322</v>
      </c>
      <c r="D180" s="33">
        <v>0</v>
      </c>
      <c r="E180" s="33">
        <v>0</v>
      </c>
      <c r="F180" s="33">
        <v>0</v>
      </c>
      <c r="G180" s="33">
        <v>0</v>
      </c>
      <c r="H180" s="42">
        <f>SUM(D180:G180)</f>
        <v>0</v>
      </c>
      <c r="I180" s="35">
        <v>0</v>
      </c>
      <c r="J180" s="35">
        <v>0</v>
      </c>
    </row>
    <row r="181" spans="2:10" s="24" customFormat="1" x14ac:dyDescent="0.25">
      <c r="B181" s="31" t="s">
        <v>323</v>
      </c>
      <c r="C181" s="32" t="s">
        <v>324</v>
      </c>
      <c r="D181" s="33">
        <v>0</v>
      </c>
      <c r="E181" s="33">
        <v>0</v>
      </c>
      <c r="F181" s="33">
        <v>0</v>
      </c>
      <c r="G181" s="33">
        <v>0</v>
      </c>
      <c r="H181" s="42">
        <f>SUM(D181:G181)</f>
        <v>0</v>
      </c>
      <c r="I181" s="35">
        <v>0</v>
      </c>
      <c r="J181" s="35">
        <v>0</v>
      </c>
    </row>
    <row r="182" spans="2:10" s="24" customFormat="1" ht="12.6" customHeight="1" x14ac:dyDescent="0.25">
      <c r="B182" s="26"/>
      <c r="C182" s="37"/>
      <c r="D182" s="38"/>
      <c r="E182" s="38"/>
      <c r="F182" s="38"/>
      <c r="G182" s="38"/>
      <c r="H182" s="34"/>
      <c r="I182" s="39"/>
      <c r="J182" s="39"/>
    </row>
    <row r="183" spans="2:10" s="24" customFormat="1" outlineLevel="1" x14ac:dyDescent="0.25">
      <c r="B183" s="26">
        <v>2.7</v>
      </c>
      <c r="C183" s="27" t="s">
        <v>325</v>
      </c>
      <c r="D183" s="28">
        <f>SUM(D184:D193)</f>
        <v>0</v>
      </c>
      <c r="E183" s="28">
        <f>SUM(E184:E193)</f>
        <v>0</v>
      </c>
      <c r="F183" s="28">
        <f>SUM(F184:F193)</f>
        <v>0</v>
      </c>
      <c r="G183" s="28">
        <f>SUM(G184:G193)</f>
        <v>0</v>
      </c>
      <c r="H183" s="29">
        <f>SUM(D183:G183)</f>
        <v>0</v>
      </c>
      <c r="I183" s="28">
        <f>SUM(I184:I193)</f>
        <v>0</v>
      </c>
      <c r="J183" s="30">
        <f>SUM(J184:J193)</f>
        <v>0</v>
      </c>
    </row>
    <row r="184" spans="2:10" s="24" customFormat="1" x14ac:dyDescent="0.25">
      <c r="B184" s="31" t="s">
        <v>326</v>
      </c>
      <c r="C184" s="32" t="s">
        <v>327</v>
      </c>
      <c r="D184" s="33">
        <v>0</v>
      </c>
      <c r="E184" s="33">
        <v>0</v>
      </c>
      <c r="F184" s="33">
        <v>0</v>
      </c>
      <c r="G184" s="33">
        <v>0</v>
      </c>
      <c r="H184" s="42">
        <f>SUM(D184:G184)</f>
        <v>0</v>
      </c>
      <c r="I184" s="35">
        <v>0</v>
      </c>
      <c r="J184" s="35">
        <v>0</v>
      </c>
    </row>
    <row r="185" spans="2:10" s="24" customFormat="1" x14ac:dyDescent="0.25">
      <c r="B185" s="31" t="s">
        <v>328</v>
      </c>
      <c r="C185" s="32" t="s">
        <v>329</v>
      </c>
      <c r="D185" s="33">
        <v>0</v>
      </c>
      <c r="E185" s="33">
        <v>0</v>
      </c>
      <c r="F185" s="33">
        <v>0</v>
      </c>
      <c r="G185" s="33">
        <v>0</v>
      </c>
      <c r="H185" s="42">
        <f t="shared" ref="H185:H193" si="13">SUM(D185:G185)</f>
        <v>0</v>
      </c>
      <c r="I185" s="35">
        <v>0</v>
      </c>
      <c r="J185" s="35">
        <v>0</v>
      </c>
    </row>
    <row r="186" spans="2:10" s="24" customFormat="1" x14ac:dyDescent="0.25">
      <c r="B186" s="31" t="s">
        <v>330</v>
      </c>
      <c r="C186" s="32" t="s">
        <v>331</v>
      </c>
      <c r="D186" s="33">
        <v>0</v>
      </c>
      <c r="E186" s="33">
        <v>0</v>
      </c>
      <c r="F186" s="33">
        <v>0</v>
      </c>
      <c r="G186" s="33">
        <v>0</v>
      </c>
      <c r="H186" s="42">
        <f t="shared" si="13"/>
        <v>0</v>
      </c>
      <c r="I186" s="35">
        <v>0</v>
      </c>
      <c r="J186" s="35">
        <v>0</v>
      </c>
    </row>
    <row r="187" spans="2:10" s="24" customFormat="1" x14ac:dyDescent="0.25">
      <c r="B187" s="31" t="s">
        <v>332</v>
      </c>
      <c r="C187" s="32" t="s">
        <v>333</v>
      </c>
      <c r="D187" s="33">
        <v>0</v>
      </c>
      <c r="E187" s="33">
        <v>0</v>
      </c>
      <c r="F187" s="33">
        <v>0</v>
      </c>
      <c r="G187" s="33">
        <v>0</v>
      </c>
      <c r="H187" s="42">
        <f t="shared" si="13"/>
        <v>0</v>
      </c>
      <c r="I187" s="35">
        <v>0</v>
      </c>
      <c r="J187" s="35">
        <v>0</v>
      </c>
    </row>
    <row r="188" spans="2:10" s="24" customFormat="1" x14ac:dyDescent="0.25">
      <c r="B188" s="31" t="s">
        <v>334</v>
      </c>
      <c r="C188" s="32" t="s">
        <v>335</v>
      </c>
      <c r="D188" s="33">
        <v>0</v>
      </c>
      <c r="E188" s="33">
        <v>0</v>
      </c>
      <c r="F188" s="33">
        <v>0</v>
      </c>
      <c r="G188" s="33">
        <v>0</v>
      </c>
      <c r="H188" s="42">
        <f t="shared" si="13"/>
        <v>0</v>
      </c>
      <c r="I188" s="35">
        <v>0</v>
      </c>
      <c r="J188" s="35">
        <v>0</v>
      </c>
    </row>
    <row r="189" spans="2:10" s="24" customFormat="1" x14ac:dyDescent="0.25">
      <c r="B189" s="31" t="s">
        <v>336</v>
      </c>
      <c r="C189" s="32" t="s">
        <v>337</v>
      </c>
      <c r="D189" s="33">
        <v>0</v>
      </c>
      <c r="E189" s="33">
        <v>0</v>
      </c>
      <c r="F189" s="33">
        <v>0</v>
      </c>
      <c r="G189" s="33">
        <v>0</v>
      </c>
      <c r="H189" s="42">
        <f t="shared" si="13"/>
        <v>0</v>
      </c>
      <c r="I189" s="35">
        <v>0</v>
      </c>
      <c r="J189" s="35">
        <v>0</v>
      </c>
    </row>
    <row r="190" spans="2:10" s="24" customFormat="1" x14ac:dyDescent="0.25">
      <c r="B190" s="31" t="s">
        <v>338</v>
      </c>
      <c r="C190" s="32" t="s">
        <v>339</v>
      </c>
      <c r="D190" s="33">
        <v>0</v>
      </c>
      <c r="E190" s="33">
        <v>0</v>
      </c>
      <c r="F190" s="33">
        <v>0</v>
      </c>
      <c r="G190" s="33">
        <v>0</v>
      </c>
      <c r="H190" s="42">
        <f t="shared" si="13"/>
        <v>0</v>
      </c>
      <c r="I190" s="35">
        <v>0</v>
      </c>
      <c r="J190" s="35">
        <v>0</v>
      </c>
    </row>
    <row r="191" spans="2:10" s="24" customFormat="1" x14ac:dyDescent="0.25">
      <c r="B191" s="31" t="s">
        <v>340</v>
      </c>
      <c r="C191" s="32" t="s">
        <v>341</v>
      </c>
      <c r="D191" s="33">
        <v>0</v>
      </c>
      <c r="E191" s="33">
        <v>0</v>
      </c>
      <c r="F191" s="33">
        <v>0</v>
      </c>
      <c r="G191" s="33">
        <v>0</v>
      </c>
      <c r="H191" s="42">
        <f t="shared" si="13"/>
        <v>0</v>
      </c>
      <c r="I191" s="35">
        <v>0</v>
      </c>
      <c r="J191" s="35">
        <v>0</v>
      </c>
    </row>
    <row r="192" spans="2:10" s="24" customFormat="1" x14ac:dyDescent="0.25">
      <c r="B192" s="31" t="s">
        <v>342</v>
      </c>
      <c r="C192" s="32" t="s">
        <v>343</v>
      </c>
      <c r="D192" s="33">
        <v>0</v>
      </c>
      <c r="E192" s="33">
        <v>0</v>
      </c>
      <c r="F192" s="33">
        <v>0</v>
      </c>
      <c r="G192" s="33">
        <v>0</v>
      </c>
      <c r="H192" s="42">
        <f t="shared" si="13"/>
        <v>0</v>
      </c>
      <c r="I192" s="35">
        <v>0</v>
      </c>
      <c r="J192" s="35">
        <v>0</v>
      </c>
    </row>
    <row r="193" spans="2:10" s="24" customFormat="1" x14ac:dyDescent="0.25">
      <c r="B193" s="31" t="s">
        <v>344</v>
      </c>
      <c r="C193" s="32" t="s">
        <v>345</v>
      </c>
      <c r="D193" s="33">
        <v>0</v>
      </c>
      <c r="E193" s="33">
        <v>0</v>
      </c>
      <c r="F193" s="33">
        <v>0</v>
      </c>
      <c r="G193" s="33">
        <v>0</v>
      </c>
      <c r="H193" s="42">
        <f t="shared" si="13"/>
        <v>0</v>
      </c>
      <c r="I193" s="35">
        <v>0</v>
      </c>
      <c r="J193" s="35">
        <v>0</v>
      </c>
    </row>
    <row r="194" spans="2:10" s="24" customFormat="1" ht="12.6" customHeight="1" x14ac:dyDescent="0.25">
      <c r="B194" s="26"/>
      <c r="C194" s="37"/>
      <c r="D194" s="38"/>
      <c r="E194" s="38"/>
      <c r="F194" s="38"/>
      <c r="G194" s="38"/>
      <c r="H194" s="34"/>
      <c r="I194" s="39"/>
      <c r="J194" s="39"/>
    </row>
    <row r="195" spans="2:10" s="24" customFormat="1" outlineLevel="1" x14ac:dyDescent="0.25">
      <c r="B195" s="26">
        <v>2.8</v>
      </c>
      <c r="C195" s="27" t="s">
        <v>346</v>
      </c>
      <c r="D195" s="28">
        <f>SUM(D196:D204)</f>
        <v>0</v>
      </c>
      <c r="E195" s="28">
        <f>SUM(E196:E204)</f>
        <v>0</v>
      </c>
      <c r="F195" s="28">
        <f>SUM(F196:F204)</f>
        <v>0</v>
      </c>
      <c r="G195" s="28">
        <f>SUM(G196:G204)</f>
        <v>0</v>
      </c>
      <c r="H195" s="29">
        <f>SUM(D195:G195)</f>
        <v>0</v>
      </c>
      <c r="I195" s="28">
        <f>SUM(I196:I204)</f>
        <v>0</v>
      </c>
      <c r="J195" s="30">
        <f>SUM(J196:J204)</f>
        <v>0</v>
      </c>
    </row>
    <row r="196" spans="2:10" s="24" customFormat="1" x14ac:dyDescent="0.25">
      <c r="B196" s="31" t="s">
        <v>347</v>
      </c>
      <c r="C196" s="32" t="s">
        <v>348</v>
      </c>
      <c r="D196" s="33">
        <v>0</v>
      </c>
      <c r="E196" s="33">
        <v>0</v>
      </c>
      <c r="F196" s="33">
        <v>0</v>
      </c>
      <c r="G196" s="33">
        <v>0</v>
      </c>
      <c r="H196" s="42">
        <f t="shared" ref="H196:H204" si="14">SUM(D196:G196)</f>
        <v>0</v>
      </c>
      <c r="I196" s="35">
        <v>0</v>
      </c>
      <c r="J196" s="35">
        <v>0</v>
      </c>
    </row>
    <row r="197" spans="2:10" s="24" customFormat="1" x14ac:dyDescent="0.25">
      <c r="B197" s="31" t="s">
        <v>349</v>
      </c>
      <c r="C197" s="32" t="s">
        <v>350</v>
      </c>
      <c r="D197" s="33">
        <v>0</v>
      </c>
      <c r="E197" s="33">
        <v>0</v>
      </c>
      <c r="F197" s="33">
        <v>0</v>
      </c>
      <c r="G197" s="33">
        <v>0</v>
      </c>
      <c r="H197" s="42">
        <f t="shared" si="14"/>
        <v>0</v>
      </c>
      <c r="I197" s="35">
        <v>0</v>
      </c>
      <c r="J197" s="35">
        <v>0</v>
      </c>
    </row>
    <row r="198" spans="2:10" s="24" customFormat="1" x14ac:dyDescent="0.25">
      <c r="B198" s="31" t="s">
        <v>351</v>
      </c>
      <c r="C198" s="32" t="s">
        <v>352</v>
      </c>
      <c r="D198" s="33">
        <v>0</v>
      </c>
      <c r="E198" s="33">
        <v>0</v>
      </c>
      <c r="F198" s="33">
        <v>0</v>
      </c>
      <c r="G198" s="33">
        <v>0</v>
      </c>
      <c r="H198" s="42">
        <f t="shared" si="14"/>
        <v>0</v>
      </c>
      <c r="I198" s="35">
        <v>0</v>
      </c>
      <c r="J198" s="35">
        <v>0</v>
      </c>
    </row>
    <row r="199" spans="2:10" s="24" customFormat="1" x14ac:dyDescent="0.25">
      <c r="B199" s="31" t="s">
        <v>353</v>
      </c>
      <c r="C199" s="32" t="s">
        <v>354</v>
      </c>
      <c r="D199" s="33">
        <v>0</v>
      </c>
      <c r="E199" s="33">
        <v>0</v>
      </c>
      <c r="F199" s="33">
        <v>0</v>
      </c>
      <c r="G199" s="33">
        <v>0</v>
      </c>
      <c r="H199" s="42">
        <f t="shared" si="14"/>
        <v>0</v>
      </c>
      <c r="I199" s="35">
        <v>0</v>
      </c>
      <c r="J199" s="35">
        <v>0</v>
      </c>
    </row>
    <row r="200" spans="2:10" s="24" customFormat="1" x14ac:dyDescent="0.25">
      <c r="B200" s="31" t="s">
        <v>355</v>
      </c>
      <c r="C200" s="32" t="s">
        <v>356</v>
      </c>
      <c r="D200" s="33">
        <v>0</v>
      </c>
      <c r="E200" s="33">
        <v>0</v>
      </c>
      <c r="F200" s="33">
        <v>0</v>
      </c>
      <c r="G200" s="33">
        <v>0</v>
      </c>
      <c r="H200" s="42">
        <f t="shared" si="14"/>
        <v>0</v>
      </c>
      <c r="I200" s="35">
        <v>0</v>
      </c>
      <c r="J200" s="35">
        <v>0</v>
      </c>
    </row>
    <row r="201" spans="2:10" s="24" customFormat="1" x14ac:dyDescent="0.25">
      <c r="B201" s="31" t="s">
        <v>357</v>
      </c>
      <c r="C201" s="32" t="s">
        <v>358</v>
      </c>
      <c r="D201" s="33">
        <v>0</v>
      </c>
      <c r="E201" s="33">
        <v>0</v>
      </c>
      <c r="F201" s="33">
        <v>0</v>
      </c>
      <c r="G201" s="33">
        <v>0</v>
      </c>
      <c r="H201" s="42">
        <f t="shared" si="14"/>
        <v>0</v>
      </c>
      <c r="I201" s="35">
        <v>0</v>
      </c>
      <c r="J201" s="35">
        <v>0</v>
      </c>
    </row>
    <row r="202" spans="2:10" s="24" customFormat="1" x14ac:dyDescent="0.25">
      <c r="B202" s="31" t="s">
        <v>359</v>
      </c>
      <c r="C202" s="32" t="s">
        <v>360</v>
      </c>
      <c r="D202" s="33">
        <v>0</v>
      </c>
      <c r="E202" s="33">
        <v>0</v>
      </c>
      <c r="F202" s="33">
        <v>0</v>
      </c>
      <c r="G202" s="33">
        <v>0</v>
      </c>
      <c r="H202" s="42">
        <f t="shared" si="14"/>
        <v>0</v>
      </c>
      <c r="I202" s="35">
        <v>0</v>
      </c>
      <c r="J202" s="35">
        <v>0</v>
      </c>
    </row>
    <row r="203" spans="2:10" s="24" customFormat="1" x14ac:dyDescent="0.25">
      <c r="B203" s="31" t="s">
        <v>361</v>
      </c>
      <c r="C203" s="32" t="s">
        <v>362</v>
      </c>
      <c r="D203" s="33">
        <v>0</v>
      </c>
      <c r="E203" s="33">
        <v>0</v>
      </c>
      <c r="F203" s="33">
        <v>0</v>
      </c>
      <c r="G203" s="33">
        <v>0</v>
      </c>
      <c r="H203" s="42">
        <f t="shared" si="14"/>
        <v>0</v>
      </c>
      <c r="I203" s="35">
        <v>0</v>
      </c>
      <c r="J203" s="35">
        <v>0</v>
      </c>
    </row>
    <row r="204" spans="2:10" s="24" customFormat="1" x14ac:dyDescent="0.25">
      <c r="B204" s="31" t="s">
        <v>363</v>
      </c>
      <c r="C204" s="32" t="s">
        <v>364</v>
      </c>
      <c r="D204" s="33">
        <v>0</v>
      </c>
      <c r="E204" s="33">
        <v>0</v>
      </c>
      <c r="F204" s="33">
        <v>0</v>
      </c>
      <c r="G204" s="33">
        <v>0</v>
      </c>
      <c r="H204" s="42">
        <f t="shared" si="14"/>
        <v>0</v>
      </c>
      <c r="I204" s="35">
        <v>0</v>
      </c>
      <c r="J204" s="35">
        <v>0</v>
      </c>
    </row>
    <row r="205" spans="2:10" s="24" customFormat="1" ht="12.6" customHeight="1" x14ac:dyDescent="0.25">
      <c r="B205" s="26"/>
      <c r="C205" s="37"/>
      <c r="D205" s="38"/>
      <c r="E205" s="38"/>
      <c r="F205" s="38"/>
      <c r="G205" s="38"/>
      <c r="H205" s="34"/>
      <c r="I205" s="39"/>
      <c r="J205" s="39"/>
    </row>
    <row r="206" spans="2:10" s="24" customFormat="1" outlineLevel="1" x14ac:dyDescent="0.25">
      <c r="B206" s="26">
        <v>2.9</v>
      </c>
      <c r="C206" s="27" t="s">
        <v>365</v>
      </c>
      <c r="D206" s="28">
        <f>SUM(D207:D213)</f>
        <v>0</v>
      </c>
      <c r="E206" s="28">
        <f>SUM(E207:E213)</f>
        <v>0</v>
      </c>
      <c r="F206" s="28">
        <f>SUM(F207:F213)</f>
        <v>0</v>
      </c>
      <c r="G206" s="28">
        <f>SUM(G207:G213)</f>
        <v>0</v>
      </c>
      <c r="H206" s="29">
        <f>SUM(D206:G206)</f>
        <v>0</v>
      </c>
      <c r="I206" s="28">
        <f>SUM(I207:I213)</f>
        <v>0</v>
      </c>
      <c r="J206" s="30">
        <f>SUM(J207:J213)</f>
        <v>0</v>
      </c>
    </row>
    <row r="207" spans="2:10" s="24" customFormat="1" x14ac:dyDescent="0.25">
      <c r="B207" s="31" t="s">
        <v>366</v>
      </c>
      <c r="C207" s="32" t="s">
        <v>367</v>
      </c>
      <c r="D207" s="33">
        <v>0</v>
      </c>
      <c r="E207" s="33">
        <v>0</v>
      </c>
      <c r="F207" s="33">
        <v>0</v>
      </c>
      <c r="G207" s="33">
        <v>0</v>
      </c>
      <c r="H207" s="42">
        <f t="shared" ref="H207:H213" si="15">SUM(D207:G207)</f>
        <v>0</v>
      </c>
      <c r="I207" s="35">
        <v>0</v>
      </c>
      <c r="J207" s="35">
        <v>0</v>
      </c>
    </row>
    <row r="208" spans="2:10" s="24" customFormat="1" x14ac:dyDescent="0.25">
      <c r="B208" s="31" t="s">
        <v>368</v>
      </c>
      <c r="C208" s="32" t="s">
        <v>369</v>
      </c>
      <c r="D208" s="33">
        <v>0</v>
      </c>
      <c r="E208" s="33">
        <v>0</v>
      </c>
      <c r="F208" s="33">
        <v>0</v>
      </c>
      <c r="G208" s="33">
        <v>0</v>
      </c>
      <c r="H208" s="42">
        <f t="shared" si="15"/>
        <v>0</v>
      </c>
      <c r="I208" s="35">
        <v>0</v>
      </c>
      <c r="J208" s="35">
        <v>0</v>
      </c>
    </row>
    <row r="209" spans="2:12" s="24" customFormat="1" x14ac:dyDescent="0.25">
      <c r="B209" s="31" t="s">
        <v>370</v>
      </c>
      <c r="C209" s="32" t="s">
        <v>371</v>
      </c>
      <c r="D209" s="33">
        <v>0</v>
      </c>
      <c r="E209" s="33">
        <v>0</v>
      </c>
      <c r="F209" s="33">
        <v>0</v>
      </c>
      <c r="G209" s="33">
        <v>0</v>
      </c>
      <c r="H209" s="42">
        <f t="shared" si="15"/>
        <v>0</v>
      </c>
      <c r="I209" s="35">
        <v>0</v>
      </c>
      <c r="J209" s="35">
        <v>0</v>
      </c>
    </row>
    <row r="210" spans="2:12" s="24" customFormat="1" x14ac:dyDescent="0.25">
      <c r="B210" s="31" t="s">
        <v>372</v>
      </c>
      <c r="C210" s="32" t="s">
        <v>373</v>
      </c>
      <c r="D210" s="33">
        <v>0</v>
      </c>
      <c r="E210" s="33">
        <v>0</v>
      </c>
      <c r="F210" s="33">
        <v>0</v>
      </c>
      <c r="G210" s="33">
        <v>0</v>
      </c>
      <c r="H210" s="42">
        <f t="shared" si="15"/>
        <v>0</v>
      </c>
      <c r="I210" s="35">
        <v>0</v>
      </c>
      <c r="J210" s="35">
        <v>0</v>
      </c>
    </row>
    <row r="211" spans="2:12" s="24" customFormat="1" x14ac:dyDescent="0.25">
      <c r="B211" s="31" t="s">
        <v>374</v>
      </c>
      <c r="C211" s="32" t="s">
        <v>375</v>
      </c>
      <c r="D211" s="33">
        <v>0</v>
      </c>
      <c r="E211" s="33">
        <v>0</v>
      </c>
      <c r="F211" s="33">
        <v>0</v>
      </c>
      <c r="G211" s="33">
        <v>0</v>
      </c>
      <c r="H211" s="42">
        <f t="shared" si="15"/>
        <v>0</v>
      </c>
      <c r="I211" s="35">
        <v>0</v>
      </c>
      <c r="J211" s="35">
        <v>0</v>
      </c>
    </row>
    <row r="212" spans="2:12" s="24" customFormat="1" x14ac:dyDescent="0.25">
      <c r="B212" s="31" t="s">
        <v>376</v>
      </c>
      <c r="C212" s="32" t="s">
        <v>377</v>
      </c>
      <c r="D212" s="33">
        <v>0</v>
      </c>
      <c r="E212" s="33">
        <v>0</v>
      </c>
      <c r="F212" s="33">
        <v>0</v>
      </c>
      <c r="G212" s="33">
        <v>0</v>
      </c>
      <c r="H212" s="42">
        <f t="shared" si="15"/>
        <v>0</v>
      </c>
      <c r="I212" s="35">
        <v>0</v>
      </c>
      <c r="J212" s="35">
        <v>0</v>
      </c>
    </row>
    <row r="213" spans="2:12" s="24" customFormat="1" x14ac:dyDescent="0.25">
      <c r="B213" s="31" t="s">
        <v>378</v>
      </c>
      <c r="C213" s="32" t="s">
        <v>379</v>
      </c>
      <c r="D213" s="33">
        <v>0</v>
      </c>
      <c r="E213" s="33">
        <v>0</v>
      </c>
      <c r="F213" s="33">
        <v>0</v>
      </c>
      <c r="G213" s="33">
        <v>0</v>
      </c>
      <c r="H213" s="42">
        <f t="shared" si="15"/>
        <v>0</v>
      </c>
      <c r="I213" s="35">
        <v>0</v>
      </c>
      <c r="J213" s="35">
        <v>0</v>
      </c>
    </row>
    <row r="214" spans="2:12" s="24" customFormat="1" ht="12.6" customHeight="1" x14ac:dyDescent="0.25">
      <c r="B214" s="26"/>
      <c r="C214" s="37"/>
      <c r="D214" s="38"/>
      <c r="E214" s="38"/>
      <c r="F214" s="38"/>
      <c r="G214" s="38"/>
      <c r="H214" s="34"/>
      <c r="I214" s="39"/>
      <c r="J214" s="39"/>
    </row>
    <row r="215" spans="2:12" s="24" customFormat="1" outlineLevel="1" x14ac:dyDescent="0.25">
      <c r="B215" s="50">
        <v>2.1</v>
      </c>
      <c r="C215" s="27" t="s">
        <v>380</v>
      </c>
      <c r="D215" s="28">
        <f>SUM(D216:D219)</f>
        <v>0</v>
      </c>
      <c r="E215" s="28">
        <f>SUM(E216:E219)</f>
        <v>0</v>
      </c>
      <c r="F215" s="28">
        <f>SUM(F216:F219)</f>
        <v>0</v>
      </c>
      <c r="G215" s="28">
        <f>SUM(G216:G219)</f>
        <v>0</v>
      </c>
      <c r="H215" s="29">
        <f>SUM(D215:G215)</f>
        <v>0</v>
      </c>
      <c r="I215" s="30">
        <f>SUM(I216:I219)</f>
        <v>0</v>
      </c>
      <c r="J215" s="30">
        <f>SUM(J216:J219)</f>
        <v>0</v>
      </c>
    </row>
    <row r="216" spans="2:12" s="24" customFormat="1" x14ac:dyDescent="0.25">
      <c r="B216" s="31" t="s">
        <v>381</v>
      </c>
      <c r="C216" s="32" t="s">
        <v>382</v>
      </c>
      <c r="D216" s="33">
        <v>0</v>
      </c>
      <c r="E216" s="33">
        <v>0</v>
      </c>
      <c r="F216" s="33">
        <v>0</v>
      </c>
      <c r="G216" s="33">
        <v>0</v>
      </c>
      <c r="H216" s="42">
        <f>SUM(D216:G216)</f>
        <v>0</v>
      </c>
      <c r="I216" s="35">
        <v>0</v>
      </c>
      <c r="J216" s="35">
        <v>0</v>
      </c>
    </row>
    <row r="217" spans="2:12" s="24" customFormat="1" x14ac:dyDescent="0.25">
      <c r="B217" s="31" t="s">
        <v>383</v>
      </c>
      <c r="C217" s="32" t="s">
        <v>384</v>
      </c>
      <c r="D217" s="33">
        <v>0</v>
      </c>
      <c r="E217" s="33">
        <v>0</v>
      </c>
      <c r="F217" s="33">
        <v>0</v>
      </c>
      <c r="G217" s="33">
        <v>0</v>
      </c>
      <c r="H217" s="42">
        <f>SUM(D217:G217)</f>
        <v>0</v>
      </c>
      <c r="I217" s="35">
        <v>0</v>
      </c>
      <c r="J217" s="35">
        <v>0</v>
      </c>
    </row>
    <row r="218" spans="2:12" s="24" customFormat="1" x14ac:dyDescent="0.25">
      <c r="B218" s="31" t="s">
        <v>385</v>
      </c>
      <c r="C218" s="32" t="s">
        <v>386</v>
      </c>
      <c r="D218" s="33">
        <v>0</v>
      </c>
      <c r="E218" s="33">
        <v>0</v>
      </c>
      <c r="F218" s="33">
        <v>0</v>
      </c>
      <c r="G218" s="33">
        <v>0</v>
      </c>
      <c r="H218" s="42">
        <f>SUM(D218:G218)</f>
        <v>0</v>
      </c>
      <c r="I218" s="35">
        <v>0</v>
      </c>
      <c r="J218" s="35">
        <v>0</v>
      </c>
    </row>
    <row r="219" spans="2:12" s="24" customFormat="1" x14ac:dyDescent="0.25">
      <c r="B219" s="31" t="s">
        <v>387</v>
      </c>
      <c r="C219" s="32" t="s">
        <v>388</v>
      </c>
      <c r="D219" s="33">
        <v>0</v>
      </c>
      <c r="E219" s="33">
        <v>0</v>
      </c>
      <c r="F219" s="33">
        <v>0</v>
      </c>
      <c r="G219" s="33">
        <v>0</v>
      </c>
      <c r="H219" s="42">
        <f>SUM(D219:G219)</f>
        <v>0</v>
      </c>
      <c r="I219" s="35">
        <v>0</v>
      </c>
      <c r="J219" s="35">
        <v>0</v>
      </c>
    </row>
    <row r="220" spans="2:12" s="24" customFormat="1" ht="12.6" customHeight="1" x14ac:dyDescent="0.25">
      <c r="B220" s="26"/>
      <c r="C220" s="37"/>
      <c r="D220" s="38"/>
      <c r="E220" s="38"/>
      <c r="F220" s="38" t="s">
        <v>389</v>
      </c>
      <c r="G220" s="38"/>
      <c r="H220" s="34"/>
      <c r="I220" s="39"/>
      <c r="J220" s="39"/>
    </row>
    <row r="221" spans="2:12" s="24" customFormat="1" outlineLevel="1" x14ac:dyDescent="0.25">
      <c r="B221" s="50">
        <v>2.11</v>
      </c>
      <c r="C221" s="27" t="s">
        <v>390</v>
      </c>
      <c r="D221" s="28">
        <f>SUM(D222)</f>
        <v>0</v>
      </c>
      <c r="E221" s="28">
        <f t="shared" ref="E221:G221" si="16">SUM(E222)</f>
        <v>0</v>
      </c>
      <c r="F221" s="28">
        <f t="shared" si="16"/>
        <v>0</v>
      </c>
      <c r="G221" s="28">
        <f t="shared" si="16"/>
        <v>0</v>
      </c>
      <c r="H221" s="29">
        <f>SUM(D221:G221)</f>
        <v>0</v>
      </c>
      <c r="I221" s="30">
        <f>SUM(I222)</f>
        <v>0</v>
      </c>
      <c r="J221" s="30">
        <f>SUM(J222)</f>
        <v>0</v>
      </c>
    </row>
    <row r="222" spans="2:12" s="24" customFormat="1" x14ac:dyDescent="0.25">
      <c r="B222" s="31" t="s">
        <v>391</v>
      </c>
      <c r="C222" s="32" t="s">
        <v>392</v>
      </c>
      <c r="D222" s="33">
        <v>0</v>
      </c>
      <c r="E222" s="33">
        <v>0</v>
      </c>
      <c r="F222" s="33">
        <v>0</v>
      </c>
      <c r="G222" s="33">
        <v>0</v>
      </c>
      <c r="H222" s="42">
        <f>SUM(D222:G222)</f>
        <v>0</v>
      </c>
      <c r="I222" s="35">
        <v>0</v>
      </c>
      <c r="J222" s="35">
        <v>0</v>
      </c>
    </row>
    <row r="223" spans="2:12" s="24" customFormat="1" x14ac:dyDescent="0.25">
      <c r="B223" s="31"/>
      <c r="C223" s="32"/>
      <c r="D223" s="33"/>
      <c r="E223" s="33"/>
      <c r="F223" s="33"/>
      <c r="G223" s="33"/>
      <c r="H223" s="42"/>
      <c r="I223" s="35"/>
      <c r="J223" s="35"/>
    </row>
    <row r="224" spans="2:12" s="24" customFormat="1" outlineLevel="1" x14ac:dyDescent="0.25">
      <c r="B224" s="19">
        <v>3</v>
      </c>
      <c r="C224" s="20" t="s">
        <v>393</v>
      </c>
      <c r="D224" s="21">
        <f>SUM(D229+D227+D225)</f>
        <v>0</v>
      </c>
      <c r="E224" s="21">
        <f>SUM(E229+E227+E225)</f>
        <v>0</v>
      </c>
      <c r="F224" s="21">
        <f>SUM(F229+F227+F225)</f>
        <v>0</v>
      </c>
      <c r="G224" s="21">
        <f>SUM(G229+G227+G225)</f>
        <v>0</v>
      </c>
      <c r="H224" s="22">
        <f t="shared" ref="H224:H230" si="17">SUM(D224:G224)</f>
        <v>0</v>
      </c>
      <c r="I224" s="23">
        <f>SUM(I229+I227+I225)</f>
        <v>0</v>
      </c>
      <c r="J224" s="23">
        <f>SUM(J229+J227+J225)</f>
        <v>0</v>
      </c>
      <c r="L224" s="36"/>
    </row>
    <row r="225" spans="1:20" s="24" customFormat="1" outlineLevel="1" x14ac:dyDescent="0.25">
      <c r="B225" s="26">
        <v>3.1</v>
      </c>
      <c r="C225" s="27" t="s">
        <v>394</v>
      </c>
      <c r="D225" s="28">
        <f>D226</f>
        <v>0</v>
      </c>
      <c r="E225" s="28">
        <f>E226</f>
        <v>0</v>
      </c>
      <c r="F225" s="28">
        <f>F226</f>
        <v>0</v>
      </c>
      <c r="G225" s="28">
        <f>G226</f>
        <v>0</v>
      </c>
      <c r="H225" s="29">
        <f t="shared" si="17"/>
        <v>0</v>
      </c>
      <c r="I225" s="30">
        <v>0</v>
      </c>
      <c r="J225" s="30">
        <f>J226</f>
        <v>0</v>
      </c>
    </row>
    <row r="226" spans="1:20" s="24" customFormat="1" x14ac:dyDescent="0.25">
      <c r="B226" s="31"/>
      <c r="C226" s="32"/>
      <c r="D226" s="33">
        <v>0</v>
      </c>
      <c r="E226" s="33">
        <v>0</v>
      </c>
      <c r="F226" s="33">
        <v>0</v>
      </c>
      <c r="G226" s="33">
        <v>0</v>
      </c>
      <c r="H226" s="42">
        <f t="shared" si="17"/>
        <v>0</v>
      </c>
      <c r="I226" s="35">
        <v>0</v>
      </c>
      <c r="J226" s="35">
        <v>0</v>
      </c>
    </row>
    <row r="227" spans="1:20" s="24" customFormat="1" outlineLevel="1" x14ac:dyDescent="0.25">
      <c r="B227" s="26">
        <v>3.2</v>
      </c>
      <c r="C227" s="27" t="s">
        <v>395</v>
      </c>
      <c r="D227" s="28">
        <f>D228</f>
        <v>0</v>
      </c>
      <c r="E227" s="28">
        <f>E228</f>
        <v>0</v>
      </c>
      <c r="F227" s="28">
        <f>F228</f>
        <v>0</v>
      </c>
      <c r="G227" s="28">
        <f>G228</f>
        <v>0</v>
      </c>
      <c r="H227" s="29">
        <f t="shared" si="17"/>
        <v>0</v>
      </c>
      <c r="I227" s="30">
        <v>0</v>
      </c>
      <c r="J227" s="30">
        <f>J228</f>
        <v>0</v>
      </c>
    </row>
    <row r="228" spans="1:20" s="24" customFormat="1" x14ac:dyDescent="0.25">
      <c r="B228" s="31"/>
      <c r="C228" s="32"/>
      <c r="D228" s="33">
        <v>0</v>
      </c>
      <c r="E228" s="33">
        <v>0</v>
      </c>
      <c r="F228" s="33">
        <v>0</v>
      </c>
      <c r="G228" s="33">
        <v>0</v>
      </c>
      <c r="H228" s="42">
        <v>0</v>
      </c>
      <c r="I228" s="35">
        <v>0</v>
      </c>
      <c r="J228" s="35">
        <v>0</v>
      </c>
    </row>
    <row r="229" spans="1:20" s="24" customFormat="1" outlineLevel="1" x14ac:dyDescent="0.25">
      <c r="B229" s="26">
        <v>3.3</v>
      </c>
      <c r="C229" s="27" t="s">
        <v>396</v>
      </c>
      <c r="D229" s="28">
        <f>D230</f>
        <v>0</v>
      </c>
      <c r="E229" s="28">
        <f>E230</f>
        <v>0</v>
      </c>
      <c r="F229" s="28">
        <f>F230</f>
        <v>0</v>
      </c>
      <c r="G229" s="28">
        <f>G230</f>
        <v>0</v>
      </c>
      <c r="H229" s="29">
        <f t="shared" si="17"/>
        <v>0</v>
      </c>
      <c r="I229" s="30">
        <v>0</v>
      </c>
      <c r="J229" s="30">
        <f>J230</f>
        <v>0</v>
      </c>
    </row>
    <row r="230" spans="1:20" s="24" customFormat="1" ht="15.75" thickBot="1" x14ac:dyDescent="0.3">
      <c r="B230" s="31"/>
      <c r="C230" s="32"/>
      <c r="D230" s="33">
        <v>0</v>
      </c>
      <c r="E230" s="33">
        <v>0</v>
      </c>
      <c r="F230" s="33">
        <v>0</v>
      </c>
      <c r="G230" s="33">
        <v>0</v>
      </c>
      <c r="H230" s="42">
        <f t="shared" si="17"/>
        <v>0</v>
      </c>
      <c r="I230" s="35">
        <v>0</v>
      </c>
      <c r="J230" s="35">
        <v>0</v>
      </c>
    </row>
    <row r="231" spans="1:20" s="57" customFormat="1" ht="15.75" thickBot="1" x14ac:dyDescent="0.3">
      <c r="A231" s="24"/>
      <c r="B231" s="51" t="s">
        <v>397</v>
      </c>
      <c r="C231" s="52" t="s">
        <v>398</v>
      </c>
      <c r="D231" s="53">
        <f t="shared" ref="D231:J231" si="18">D7+D53+D224</f>
        <v>0</v>
      </c>
      <c r="E231" s="53">
        <f t="shared" si="18"/>
        <v>0</v>
      </c>
      <c r="F231" s="53">
        <f t="shared" si="18"/>
        <v>0</v>
      </c>
      <c r="G231" s="53">
        <f t="shared" si="18"/>
        <v>0</v>
      </c>
      <c r="H231" s="54">
        <f t="shared" si="18"/>
        <v>0</v>
      </c>
      <c r="I231" s="55">
        <f t="shared" si="18"/>
        <v>0</v>
      </c>
      <c r="J231" s="55">
        <f t="shared" si="18"/>
        <v>0</v>
      </c>
      <c r="K231" s="56"/>
      <c r="L231" s="56"/>
      <c r="M231" s="56"/>
      <c r="N231" s="56"/>
      <c r="O231" s="56"/>
      <c r="P231" s="56"/>
      <c r="Q231" s="56"/>
      <c r="R231" s="56"/>
      <c r="S231" s="56"/>
      <c r="T231" s="56"/>
    </row>
    <row r="232" spans="1:20" s="24" customFormat="1" x14ac:dyDescent="0.25">
      <c r="B232" s="58"/>
      <c r="C232" s="59"/>
      <c r="D232" s="60"/>
      <c r="E232" s="60"/>
      <c r="F232" s="60"/>
      <c r="G232" s="60"/>
      <c r="H232" s="61"/>
      <c r="I232" s="62"/>
      <c r="J232" s="62"/>
    </row>
    <row r="233" spans="1:20" s="57" customFormat="1" x14ac:dyDescent="0.25">
      <c r="A233" s="24"/>
      <c r="B233" s="63" t="s">
        <v>399</v>
      </c>
      <c r="C233" s="64"/>
      <c r="D233" s="65">
        <f t="shared" ref="D233:J233" si="19">+D231*0.1</f>
        <v>0</v>
      </c>
      <c r="E233" s="65">
        <f t="shared" si="19"/>
        <v>0</v>
      </c>
      <c r="F233" s="65">
        <f t="shared" si="19"/>
        <v>0</v>
      </c>
      <c r="G233" s="65">
        <f t="shared" si="19"/>
        <v>0</v>
      </c>
      <c r="H233" s="66">
        <f t="shared" si="19"/>
        <v>0</v>
      </c>
      <c r="I233" s="67">
        <f t="shared" si="19"/>
        <v>0</v>
      </c>
      <c r="J233" s="67">
        <f t="shared" si="19"/>
        <v>0</v>
      </c>
      <c r="K233" s="65"/>
      <c r="L233" s="65"/>
      <c r="M233" s="65"/>
      <c r="N233" s="65"/>
      <c r="O233" s="65"/>
      <c r="P233" s="65"/>
      <c r="Q233" s="65"/>
      <c r="R233" s="65"/>
      <c r="S233" s="65"/>
      <c r="T233" s="65"/>
    </row>
    <row r="234" spans="1:20" s="24" customFormat="1" ht="15.75" thickBot="1" x14ac:dyDescent="0.3">
      <c r="B234" s="58"/>
      <c r="C234" s="68"/>
      <c r="D234" s="60"/>
      <c r="E234" s="60"/>
      <c r="F234" s="60"/>
      <c r="G234" s="60"/>
      <c r="H234" s="61"/>
      <c r="I234" s="62"/>
      <c r="J234" s="62"/>
    </row>
    <row r="235" spans="1:20" s="57" customFormat="1" ht="15.75" thickBot="1" x14ac:dyDescent="0.3">
      <c r="A235" s="24"/>
      <c r="B235" s="51" t="s">
        <v>400</v>
      </c>
      <c r="C235" s="52" t="s">
        <v>401</v>
      </c>
      <c r="D235" s="69">
        <f t="shared" ref="D235:J235" si="20">+D231+D233</f>
        <v>0</v>
      </c>
      <c r="E235" s="69">
        <f t="shared" si="20"/>
        <v>0</v>
      </c>
      <c r="F235" s="70">
        <f t="shared" si="20"/>
        <v>0</v>
      </c>
      <c r="G235" s="53">
        <f t="shared" si="20"/>
        <v>0</v>
      </c>
      <c r="H235" s="54">
        <f t="shared" si="20"/>
        <v>0</v>
      </c>
      <c r="I235" s="55">
        <f t="shared" si="20"/>
        <v>0</v>
      </c>
      <c r="J235" s="55">
        <f t="shared" si="20"/>
        <v>0</v>
      </c>
      <c r="K235" s="56"/>
      <c r="L235" s="56"/>
      <c r="M235" s="56"/>
      <c r="N235" s="56"/>
      <c r="O235" s="56"/>
      <c r="P235" s="56"/>
      <c r="Q235" s="56"/>
      <c r="R235" s="56"/>
      <c r="S235" s="56"/>
      <c r="T235" s="56"/>
    </row>
    <row r="236" spans="1:20" x14ac:dyDescent="0.25">
      <c r="C236" s="71"/>
    </row>
    <row r="237" spans="1:20" x14ac:dyDescent="0.25">
      <c r="C237" s="3"/>
    </row>
    <row r="238" spans="1:20" x14ac:dyDescent="0.25">
      <c r="C238" s="3"/>
    </row>
    <row r="239" spans="1:20" x14ac:dyDescent="0.25">
      <c r="C239" s="72"/>
    </row>
    <row r="240" spans="1:20" x14ac:dyDescent="0.25">
      <c r="C240" s="73"/>
    </row>
    <row r="241" spans="1:20" x14ac:dyDescent="0.25">
      <c r="C241" s="73"/>
    </row>
    <row r="242" spans="1:20" x14ac:dyDescent="0.25">
      <c r="C242" s="74"/>
    </row>
    <row r="243" spans="1:20" x14ac:dyDescent="0.25">
      <c r="C243" s="5"/>
    </row>
    <row r="244" spans="1:20" x14ac:dyDescent="0.25">
      <c r="C244" s="75"/>
    </row>
    <row r="245" spans="1:20" x14ac:dyDescent="0.25">
      <c r="C245" s="75"/>
    </row>
    <row r="246" spans="1:20" x14ac:dyDescent="0.25">
      <c r="C246" s="75"/>
    </row>
    <row r="247" spans="1:20" customFormat="1" x14ac:dyDescent="0.25">
      <c r="A247" s="4"/>
      <c r="C247" s="75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customFormat="1" x14ac:dyDescent="0.25">
      <c r="A248" s="4"/>
      <c r="C248" s="75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customFormat="1" x14ac:dyDescent="0.25">
      <c r="A249" s="4"/>
      <c r="C249" s="75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customFormat="1" x14ac:dyDescent="0.25">
      <c r="A250" s="4"/>
      <c r="C250" s="75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customFormat="1" x14ac:dyDescent="0.25">
      <c r="A251" s="4"/>
      <c r="C251" s="5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customFormat="1" x14ac:dyDescent="0.25">
      <c r="A252" s="4"/>
      <c r="C252" s="76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customFormat="1" x14ac:dyDescent="0.25">
      <c r="A253" s="4"/>
      <c r="C253" s="76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customFormat="1" x14ac:dyDescent="0.25">
      <c r="A254" s="4"/>
      <c r="C254" s="76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customFormat="1" x14ac:dyDescent="0.25">
      <c r="A255" s="4"/>
      <c r="C255" s="76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customFormat="1" x14ac:dyDescent="0.25">
      <c r="A256" s="4"/>
      <c r="C256" s="77"/>
      <c r="K256" s="4"/>
      <c r="L256" s="4"/>
      <c r="M256" s="4"/>
      <c r="N256" s="4"/>
      <c r="O256" s="4"/>
      <c r="P256" s="4"/>
      <c r="Q256" s="4"/>
      <c r="R256" s="4"/>
      <c r="S256" s="4"/>
      <c r="T256" s="4"/>
    </row>
  </sheetData>
  <mergeCells count="2">
    <mergeCell ref="C5:G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Bilson M. Sunu</dc:creator>
  <cp:lastModifiedBy>Bilson M. Sunu</cp:lastModifiedBy>
  <dcterms:created xsi:type="dcterms:W3CDTF">2026-10-09T13:19:39Z</dcterms:created>
  <dcterms:modified xsi:type="dcterms:W3CDTF">2026-10-09T13:33:48Z</dcterms:modified>
</cp:coreProperties>
</file>