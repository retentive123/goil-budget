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ENTIVE\Documents\"/>
    </mc:Choice>
  </mc:AlternateContent>
  <xr:revisionPtr revIDLastSave="0" documentId="8_{2FDE6A7E-B806-4FC2-977A-AA3F8F06B997}" xr6:coauthVersionLast="47" xr6:coauthVersionMax="47" xr10:uidLastSave="{00000000-0000-0000-0000-000000000000}"/>
  <bookViews>
    <workbookView xWindow="-98" yWindow="-98" windowWidth="21795" windowHeight="13096" xr2:uid="{E8C85B44-B62B-4279-B57A-66F2296B7D10}"/>
  </bookViews>
  <sheets>
    <sheet name="CHART SHEET" sheetId="1" r:id="rId1"/>
  </sheets>
  <externalReferences>
    <externalReference r:id="rId2"/>
    <externalReference r:id="rId3"/>
  </externalReferences>
  <definedNames>
    <definedName name="FOREX">'[1]2025 CAPEX BUDGET'!$B$203</definedName>
    <definedName name="Inflation">'[2]RECURRENT EXPENDITURE-ORIGINAL'!$B$301</definedName>
    <definedName name="SSF">'[2]RECURRENT EXPENDITURE-ORIGINAL'!$B$299</definedName>
    <definedName name="Tier3">'[2]RECURRENT EXPENDITURE-ORIGINAL'!$B$300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3" i="1" l="1"/>
  <c r="O253" i="1"/>
  <c r="K253" i="1"/>
  <c r="F253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T206" i="1"/>
  <c r="E206" i="1"/>
  <c r="D206" i="1"/>
  <c r="T196" i="1"/>
  <c r="E196" i="1"/>
  <c r="D196" i="1"/>
  <c r="E195" i="1"/>
  <c r="D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R190" i="1"/>
  <c r="K190" i="1"/>
  <c r="T183" i="1"/>
  <c r="E183" i="1"/>
  <c r="D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L151" i="1"/>
  <c r="H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R145" i="1"/>
  <c r="L145" i="1"/>
  <c r="K145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E136" i="1"/>
  <c r="D136" i="1"/>
  <c r="E135" i="1"/>
  <c r="D135" i="1"/>
  <c r="F133" i="1"/>
  <c r="E133" i="1"/>
  <c r="D133" i="1"/>
  <c r="O130" i="1"/>
  <c r="H130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U116" i="1"/>
  <c r="S116" i="1"/>
  <c r="R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R115" i="1"/>
  <c r="F115" i="1"/>
  <c r="F114" i="1"/>
  <c r="F113" i="1"/>
  <c r="F112" i="1"/>
  <c r="Q111" i="1"/>
  <c r="K111" i="1"/>
  <c r="K110" i="1"/>
  <c r="S106" i="1"/>
  <c r="O82" i="1"/>
  <c r="H82" i="1"/>
  <c r="O81" i="1"/>
  <c r="H81" i="1"/>
  <c r="O71" i="1"/>
  <c r="H71" i="1"/>
  <c r="O70" i="1"/>
  <c r="H70" i="1"/>
  <c r="O69" i="1"/>
  <c r="H69" i="1"/>
  <c r="O68" i="1"/>
  <c r="H68" i="1"/>
  <c r="O67" i="1"/>
  <c r="H6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J46" i="1"/>
  <c r="G46" i="1"/>
  <c r="T45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R39" i="1"/>
  <c r="P39" i="1"/>
  <c r="O39" i="1"/>
  <c r="K39" i="1"/>
  <c r="J39" i="1"/>
  <c r="G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J35" i="1"/>
  <c r="I35" i="1"/>
  <c r="G35" i="1"/>
  <c r="F35" i="1"/>
  <c r="E35" i="1"/>
  <c r="D35" i="1"/>
  <c r="R34" i="1"/>
  <c r="J34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</calcChain>
</file>

<file path=xl/sharedStrings.xml><?xml version="1.0" encoding="utf-8"?>
<sst xmlns="http://schemas.openxmlformats.org/spreadsheetml/2006/main" count="286" uniqueCount="258">
  <si>
    <t>GCEO/MD</t>
  </si>
  <si>
    <t>COO</t>
  </si>
  <si>
    <t>Finance</t>
  </si>
  <si>
    <t>Admin/HR</t>
  </si>
  <si>
    <t>Operations</t>
  </si>
  <si>
    <t>CIA</t>
  </si>
  <si>
    <t>HSSE</t>
  </si>
  <si>
    <t>TSPM</t>
  </si>
  <si>
    <t>Estates</t>
  </si>
  <si>
    <t>Legal</t>
  </si>
  <si>
    <t>Research &amp; Bus. Int.</t>
  </si>
  <si>
    <t>Technical Services</t>
  </si>
  <si>
    <t>Non Fuels</t>
  </si>
  <si>
    <t>Procurement</t>
  </si>
  <si>
    <t>Fuels Marketing</t>
  </si>
  <si>
    <t>IT</t>
  </si>
  <si>
    <t>Business Development</t>
  </si>
  <si>
    <t>Corporate Affairs</t>
  </si>
  <si>
    <t>Risk</t>
  </si>
  <si>
    <t>01001</t>
  </si>
  <si>
    <t>05001</t>
  </si>
  <si>
    <t>07000</t>
  </si>
  <si>
    <t>02001</t>
  </si>
  <si>
    <t>01002</t>
  </si>
  <si>
    <t>01003</t>
  </si>
  <si>
    <t>03001</t>
  </si>
  <si>
    <t>01004</t>
  </si>
  <si>
    <t>01005</t>
  </si>
  <si>
    <t>01007</t>
  </si>
  <si>
    <t>04001</t>
  </si>
  <si>
    <t>06001</t>
  </si>
  <si>
    <t>01006</t>
  </si>
  <si>
    <t>08001</t>
  </si>
  <si>
    <t>01008</t>
  </si>
  <si>
    <t>ACCOUNT CODES</t>
  </si>
  <si>
    <t>DESCRIPTION</t>
  </si>
  <si>
    <t>1. SALARIES AND ALLOWANCES</t>
  </si>
  <si>
    <t>Normal Salaries &amp; Wages</t>
  </si>
  <si>
    <t xml:space="preserve"> </t>
  </si>
  <si>
    <t>Overtime</t>
  </si>
  <si>
    <t>SSF Employer's Contribution</t>
  </si>
  <si>
    <t>Employer Tier 3 Contri</t>
  </si>
  <si>
    <t>Early Retirement</t>
  </si>
  <si>
    <t>Annual Bonus</t>
  </si>
  <si>
    <t>Staff Cost - Month 13</t>
  </si>
  <si>
    <t>Subsriptions to Professional Bodies</t>
  </si>
  <si>
    <t>15299</t>
  </si>
  <si>
    <t>Staff Loans Recovery Clearing Account</t>
  </si>
  <si>
    <t>SUB-TOTAL</t>
  </si>
  <si>
    <t>2. TRAVELLING &amp; TRANSPORT</t>
  </si>
  <si>
    <t>Transfers &amp; Relocation Allowances</t>
  </si>
  <si>
    <t>Transport Expenses</t>
  </si>
  <si>
    <t>Training (Overseas)</t>
  </si>
  <si>
    <t>Air Tickets</t>
  </si>
  <si>
    <t>Accommodation</t>
  </si>
  <si>
    <t>Per Diem / DSA</t>
  </si>
  <si>
    <t>Ground Transport</t>
  </si>
  <si>
    <t>Meal and Entertainment</t>
  </si>
  <si>
    <t>Meeting Expenses</t>
  </si>
  <si>
    <t>Visa Processing</t>
  </si>
  <si>
    <t xml:space="preserve">TOTAL </t>
  </si>
  <si>
    <t>3. OTHER PERSONNEL COST</t>
  </si>
  <si>
    <t>61805</t>
  </si>
  <si>
    <t>Training - Frontline</t>
  </si>
  <si>
    <t>62618</t>
  </si>
  <si>
    <t>Seasonal, End of Year Activities</t>
  </si>
  <si>
    <t>Medical</t>
  </si>
  <si>
    <t>Staff Welfare</t>
  </si>
  <si>
    <t>Training-LOCAL</t>
  </si>
  <si>
    <t>62615</t>
  </si>
  <si>
    <t xml:space="preserve">Uniforms </t>
  </si>
  <si>
    <t>Staff cost - Misc.</t>
  </si>
  <si>
    <t xml:space="preserve"> long service Awards</t>
  </si>
  <si>
    <t>Salaries Appraisals - back pay</t>
  </si>
  <si>
    <t>TOTAL</t>
  </si>
  <si>
    <t>Staff Cost - Retired staff Medicals</t>
  </si>
  <si>
    <t>Scholarship</t>
  </si>
  <si>
    <t>Staff Cost - Medical Screening</t>
  </si>
  <si>
    <t>Canteen</t>
  </si>
  <si>
    <t>Fitness &amp; Recreational Assistance</t>
  </si>
  <si>
    <t>62725</t>
  </si>
  <si>
    <t>Hotel &amp; Outstation Expenses</t>
  </si>
  <si>
    <t>4. VARIOUS MATERIALS</t>
  </si>
  <si>
    <t>Coupon Production</t>
  </si>
  <si>
    <t>61607</t>
  </si>
  <si>
    <t>POS/GoCard Expenses</t>
  </si>
  <si>
    <t>Computing Expenses - Forms &amp; Accessories</t>
  </si>
  <si>
    <t>Printing &amp; Stationery</t>
  </si>
  <si>
    <t>5. ELECTRICITY &amp; WATER - DEPOTS, HOUSES &amp; OFFICES</t>
  </si>
  <si>
    <t>Electricity for Depots</t>
  </si>
  <si>
    <t>Water for Depots</t>
  </si>
  <si>
    <t>Electricity (offices &amp; houses)</t>
  </si>
  <si>
    <t>Water (offices &amp; houses)</t>
  </si>
  <si>
    <t>6. MAINTENANCE &amp; RUNNING COST</t>
  </si>
  <si>
    <t>MAINTENANCE OF STATIONS</t>
  </si>
  <si>
    <t>Genset Maint. &amp; Repairs</t>
  </si>
  <si>
    <t>Pump Maint. &amp; Repairs</t>
  </si>
  <si>
    <t xml:space="preserve">General Maint. &amp; Repairs </t>
  </si>
  <si>
    <t>Maintenance of Consumer Installations</t>
  </si>
  <si>
    <t>Maint. Of Aviation Depot - Accra</t>
  </si>
  <si>
    <t>Maint. Of Aviation Depot - Kumasi</t>
  </si>
  <si>
    <t>Maint. Of Aviation Depot - Takoradi</t>
  </si>
  <si>
    <t>61445</t>
  </si>
  <si>
    <t>Maint. Of Aviation Depot - Tamale</t>
  </si>
  <si>
    <t>Maint of  LPG &amp; Lubes Depot -KUMASI</t>
  </si>
  <si>
    <t>Maint of  LPG &amp; Lubes Depot -TEMA</t>
  </si>
  <si>
    <t>Maint of Bunkering - Sekondi Naval Base &amp; T'adi Harbour</t>
  </si>
  <si>
    <t>Maint of Lubes Depot -TAKORADI</t>
  </si>
  <si>
    <t>Maint of Lubes Depot -TAMALE</t>
  </si>
  <si>
    <t>Maint. Of Installations</t>
  </si>
  <si>
    <t>Maintenance of Plant, Machinery &amp; Equipment</t>
  </si>
  <si>
    <t>Revenue Generating Vehicles - Cost of Labour Charges</t>
  </si>
  <si>
    <t>Revenue Generating Vehicles - Cost of Spares</t>
  </si>
  <si>
    <t>Revenue Generating Vehicles - Cost of Tyres</t>
  </si>
  <si>
    <t>Revenue Generating Vehicles - Insurance</t>
  </si>
  <si>
    <t>Revenue Generating Vehicles - Fuels</t>
  </si>
  <si>
    <t>Revenue Generating Vehicles - Lubes</t>
  </si>
  <si>
    <t>Revenue Generating Vehicles - Permits &amp; Licensing</t>
  </si>
  <si>
    <t>Administration Vehicles - Cost of Labour Charges And Spares</t>
  </si>
  <si>
    <t>Administration Vehicles - Cost of Spares</t>
  </si>
  <si>
    <t>62102</t>
  </si>
  <si>
    <t>Administration Vehicles - Cost of Tyres</t>
  </si>
  <si>
    <t>Administration Vehicles - Fuels (Internal Consumption)</t>
  </si>
  <si>
    <t>Administration Vehicles - Lubes</t>
  </si>
  <si>
    <t>Computing Expenses - Computer, Software &amp; Network Maintenance</t>
  </si>
  <si>
    <t>62501</t>
  </si>
  <si>
    <t>HSSEQ Expenses</t>
  </si>
  <si>
    <t>Maintenance of Office</t>
  </si>
  <si>
    <t>Maintenance of Gensets - Offices</t>
  </si>
  <si>
    <t>Maint of Guest House</t>
  </si>
  <si>
    <t>Maint of Residential Accomodation</t>
  </si>
  <si>
    <t>Maint of Head office</t>
  </si>
  <si>
    <t>Maint - Other Residences</t>
  </si>
  <si>
    <t>Maintenance of Office Equipment</t>
  </si>
  <si>
    <t>Coupons Replacement</t>
  </si>
  <si>
    <t>Software License</t>
  </si>
  <si>
    <t>Aro Warehouse Maintenance</t>
  </si>
  <si>
    <t>Take Over Stations (Commissions)</t>
  </si>
  <si>
    <t>Lubes Production / Business Development</t>
  </si>
  <si>
    <t>Clearing &amp; Handling Charges</t>
  </si>
  <si>
    <t>Stock Losses</t>
  </si>
  <si>
    <t>Damaged Stocks</t>
  </si>
  <si>
    <t>62783</t>
  </si>
  <si>
    <t>Debt Recovery</t>
  </si>
  <si>
    <t>Loyalty Award</t>
  </si>
  <si>
    <t>Housing Rent For Personnel</t>
  </si>
  <si>
    <t>61440</t>
  </si>
  <si>
    <t xml:space="preserve">Furniture and Office Equipment </t>
  </si>
  <si>
    <t>Rent - Administration</t>
  </si>
  <si>
    <t>7. VARIOUS SERVICES</t>
  </si>
  <si>
    <t>Security Services</t>
  </si>
  <si>
    <t>Contract Labour</t>
  </si>
  <si>
    <t>Cleaning Services</t>
  </si>
  <si>
    <t>8. THROUGHPUT CHARGES</t>
  </si>
  <si>
    <t>9. PROFESSIONAL SERVICE</t>
  </si>
  <si>
    <t>Calibration of U/G Tanks</t>
  </si>
  <si>
    <t>Standard Boards &amp; Statutory</t>
  </si>
  <si>
    <t>Survey Fees</t>
  </si>
  <si>
    <t>Annual General Meeting</t>
  </si>
  <si>
    <t>62701-01001</t>
  </si>
  <si>
    <t>Audit Fees</t>
  </si>
  <si>
    <t>Directors Renumeration</t>
  </si>
  <si>
    <t>Directors Expenses</t>
  </si>
  <si>
    <t>62774</t>
  </si>
  <si>
    <t>Professional Services (Fees &amp; Charges)</t>
  </si>
  <si>
    <t>10. TAXES/LEVIES/PERMITS</t>
  </si>
  <si>
    <t>Ground Rent &amp; Parking Lot</t>
  </si>
  <si>
    <t>Motorway Toll - Revenue Generating Vehicles</t>
  </si>
  <si>
    <t>Administration Vehicles - Permits &amp; Licenses</t>
  </si>
  <si>
    <t>Administration Vehicles - Motorway Tolls</t>
  </si>
  <si>
    <t>Permit &amp; Licenses</t>
  </si>
  <si>
    <t>Property Rate</t>
  </si>
  <si>
    <t>11. EQUIPMENT HIRING &amp; RENTAL</t>
  </si>
  <si>
    <t>Equipment Hiring</t>
  </si>
  <si>
    <t>General Rates on Buildings - Depots &amp; Stations</t>
  </si>
  <si>
    <t xml:space="preserve">12. STATIONS LAND LEASING </t>
  </si>
  <si>
    <t>Annual Lease</t>
  </si>
  <si>
    <t>13. INSURANCE PREMIUM</t>
  </si>
  <si>
    <t>Assets All risk</t>
  </si>
  <si>
    <t>Insurance - Depots</t>
  </si>
  <si>
    <t>Insurance - Motor Vehicles</t>
  </si>
  <si>
    <t xml:space="preserve">Insurance - Plant, Machinery &amp; Equipment (JV) </t>
  </si>
  <si>
    <t>Insurance - Stations (Company Owned)</t>
  </si>
  <si>
    <t>Administration Vehicles - Insurance</t>
  </si>
  <si>
    <t>Insurance - Head office</t>
  </si>
  <si>
    <t>Insurance - Residences</t>
  </si>
  <si>
    <t>62403</t>
  </si>
  <si>
    <t>Insurance - Goods in transit</t>
  </si>
  <si>
    <t>Insurance - Fidelity Guarantee</t>
  </si>
  <si>
    <t>Insurance - Public Liability (KIA, TDI and KSI)</t>
  </si>
  <si>
    <t>Insurance - Burglary</t>
  </si>
  <si>
    <t>Staff Cost - Life Insurance</t>
  </si>
  <si>
    <t>14. POST &amp; TELECOMMUNICATION</t>
  </si>
  <si>
    <t>Computing Expenses - WAN &amp; Internet</t>
  </si>
  <si>
    <t>Postage &amp; Telephone</t>
  </si>
  <si>
    <t xml:space="preserve">15. SALES PROMOTION &amp; ADVERTISING </t>
  </si>
  <si>
    <t>Advertising</t>
  </si>
  <si>
    <t>Sales Promotion</t>
  </si>
  <si>
    <t>Sponsorship</t>
  </si>
  <si>
    <t>Events</t>
  </si>
  <si>
    <t>stakeholder Relation( Media)</t>
  </si>
  <si>
    <t>Customer Care Expenses</t>
  </si>
  <si>
    <t>Business Promotion (Brands Ambassador)</t>
  </si>
  <si>
    <t>Branded items, Events</t>
  </si>
  <si>
    <t>Bonus - Frontline</t>
  </si>
  <si>
    <t>16. OTHER COSTS</t>
  </si>
  <si>
    <t>Subscriptions - Various Business Associations (incl industry</t>
  </si>
  <si>
    <t>62710</t>
  </si>
  <si>
    <t>DIRECTORS FEES &amp; EXPENSES</t>
  </si>
  <si>
    <t>CSI</t>
  </si>
  <si>
    <t>Community Support - Impact projects</t>
  </si>
  <si>
    <t>Health and Safety</t>
  </si>
  <si>
    <t>Community Support - Education</t>
  </si>
  <si>
    <t>Community Support - Capacity building -</t>
  </si>
  <si>
    <t>Environmental Protection and Sustainability</t>
  </si>
  <si>
    <t>Heritage Support</t>
  </si>
  <si>
    <t>Stakeholder Relation</t>
  </si>
  <si>
    <t>Donations</t>
  </si>
  <si>
    <t>Admin Expenses - Others</t>
  </si>
  <si>
    <t>Business Lunch</t>
  </si>
  <si>
    <t>Code</t>
  </si>
  <si>
    <t>Decription</t>
  </si>
  <si>
    <t>1. Rates &amp; Levies</t>
  </si>
  <si>
    <t>Rent - Ridge &amp; Bitumen Office</t>
  </si>
  <si>
    <t>Business Promotion</t>
  </si>
  <si>
    <t>Contingency</t>
  </si>
  <si>
    <t>Promotional Activities (Targeted Promos, discounts etc</t>
  </si>
  <si>
    <t>Marketing Conferences</t>
  </si>
  <si>
    <t>Event Launches &amp; Station Commissions</t>
  </si>
  <si>
    <t>17. DEPRECIATION OF FIXED ASSETS</t>
  </si>
  <si>
    <t>Depreciation - GOIL Rebranding (Amortisation)</t>
  </si>
  <si>
    <t>Depreciation - Motor Vehicles</t>
  </si>
  <si>
    <t>Depreciation - Plant, Machinery &amp; Equipment</t>
  </si>
  <si>
    <t>Depreciation - Leasehold Land</t>
  </si>
  <si>
    <t>Depreciation - Buildings</t>
  </si>
  <si>
    <t>Depreciation - Computers &amp; Accessories</t>
  </si>
  <si>
    <t>Depreciation - Furniture, Fittings &amp; Equipment</t>
  </si>
  <si>
    <t>Depreciation - Software</t>
  </si>
  <si>
    <t>Depreciation - Freehold Land</t>
  </si>
  <si>
    <t>Depreciation (Assets Impairment)</t>
  </si>
  <si>
    <t>Depreciation GOIL Rebranding Amortisation</t>
  </si>
  <si>
    <t>Depreciation Motor Vehicles</t>
  </si>
  <si>
    <t>Depreciation Plant Machinery &amp; Equipment</t>
  </si>
  <si>
    <t>18. FINANCIAL CHARGES</t>
  </si>
  <si>
    <t>FINANCE COST</t>
  </si>
  <si>
    <t>Bank Charges</t>
  </si>
  <si>
    <t>Bank Interest</t>
  </si>
  <si>
    <t>Exchange Losses</t>
  </si>
  <si>
    <t>Interest Payable to Third Parties</t>
  </si>
  <si>
    <t>Floatation &amp; Listing Expenses</t>
  </si>
  <si>
    <t>Finance Cost - Others</t>
  </si>
  <si>
    <t>19. SUNDRY CHARGES</t>
  </si>
  <si>
    <t>Bad Debts</t>
  </si>
  <si>
    <t xml:space="preserve">20. DISCOUNT </t>
  </si>
  <si>
    <t>Discount Allowed</t>
  </si>
  <si>
    <t xml:space="preserve">21. HEALTH, SAFETY, SECURITY &amp; ENVIRONMENT </t>
  </si>
  <si>
    <t>ISO Intergrated Management Systems</t>
  </si>
  <si>
    <t>TOTAL RECURRENT EXPENSES BEFORE FINANCIAL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</si>
</sst>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name val="Arial Unicode MS"/>
    </font>
    <font>
      <sz val="11"/>
      <name val="Calibri"/>
      <family val="2"/>
      <scheme val="minor"/>
    </font>
    <font>
      <b/>
      <sz val="10"/>
      <color theme="1"/>
      <name val="Arial Unicode MS"/>
    </font>
    <font>
      <sz val="10"/>
      <name val="Arial Unicode MS"/>
    </font>
    <font>
      <sz val="11"/>
      <color rgb="FFFFFFFF"/>
      <name val="Calibri"/>
      <family val="2"/>
      <scheme val="minor"/>
    </font>
    <font>
      <sz val="10"/>
      <color theme="5" tint="-0.499984740745262"/>
      <name val="Arial Unicode MS"/>
    </font>
    <font>
      <sz val="11"/>
      <color theme="5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Arial Unicode MS"/>
    </font>
    <font>
      <sz val="11"/>
      <color rgb="FF006100"/>
      <name val="Calibri"/>
      <family val="2"/>
      <scheme val="minor"/>
    </font>
    <font>
      <sz val="10"/>
      <color rgb="FF006100"/>
      <name val="Arial Unicode MS"/>
    </font>
    <font>
      <sz val="10"/>
      <color rgb="FF000000"/>
      <name val="Arial Unicode MS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0" fillId="3" borderId="0" applyNumberFormat="0" applyBorder="0" applyAlignment="0" applyProtection="0"/>
    <xf numFmtId="0" fontId="1" fillId="0" borderId="0"/>
    <xf numFmtId="0" fontId="1" fillId="0" borderId="0"/>
  </cellStyleXfs>
  <cellXfs count="77">
    <xf numFmtId="0" fontId="0" fillId="0" borderId="0" xfId="0"/>
    <xf numFmtId="3" fontId="2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1" xfId="0" applyNumberFormat="1" applyFont="1" applyBorder="1" applyAlignment="1">
      <alignment horizontal="center" wrapText="1"/>
    </xf>
    <xf numFmtId="0" fontId="4" fillId="0" borderId="0" xfId="0" quotePrefix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left" vertical="top" wrapText="1"/>
    </xf>
    <xf numFmtId="3" fontId="6" fillId="6" borderId="1" xfId="0" applyNumberFormat="1" applyFont="1" applyFill="1" applyBorder="1" applyAlignment="1">
      <alignment horizontal="left" vertical="center" wrapText="1"/>
    </xf>
    <xf numFmtId="0" fontId="0" fillId="6" borderId="1" xfId="0" applyFill="1" applyBorder="1"/>
    <xf numFmtId="0" fontId="7" fillId="6" borderId="1" xfId="0" applyFont="1" applyFill="1" applyBorder="1"/>
    <xf numFmtId="49" fontId="8" fillId="6" borderId="1" xfId="0" applyNumberFormat="1" applyFont="1" applyFill="1" applyBorder="1" applyAlignment="1">
      <alignment horizontal="left" vertical="top" wrapText="1"/>
    </xf>
    <xf numFmtId="3" fontId="8" fillId="6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/>
    <xf numFmtId="0" fontId="7" fillId="7" borderId="1" xfId="0" applyFont="1" applyFill="1" applyBorder="1"/>
    <xf numFmtId="49" fontId="6" fillId="0" borderId="1" xfId="0" applyNumberFormat="1" applyFont="1" applyBorder="1" applyAlignment="1">
      <alignment horizontal="left" vertical="top" wrapText="1"/>
    </xf>
    <xf numFmtId="49" fontId="3" fillId="5" borderId="1" xfId="0" applyNumberFormat="1" applyFont="1" applyFill="1" applyBorder="1" applyAlignment="1">
      <alignment horizontal="left" vertical="top" wrapText="1"/>
    </xf>
    <xf numFmtId="3" fontId="3" fillId="5" borderId="1" xfId="0" applyNumberFormat="1" applyFont="1" applyFill="1" applyBorder="1" applyAlignment="1">
      <alignment horizontal="left" vertical="center" wrapText="1"/>
    </xf>
    <xf numFmtId="3" fontId="6" fillId="0" borderId="1" xfId="4" applyNumberFormat="1" applyFont="1" applyFill="1" applyBorder="1" applyAlignment="1">
      <alignment horizontal="left" vertical="center" wrapText="1"/>
    </xf>
    <xf numFmtId="0" fontId="0" fillId="7" borderId="1" xfId="0" applyFill="1" applyBorder="1"/>
    <xf numFmtId="0" fontId="5" fillId="0" borderId="1" xfId="0" applyFont="1" applyBorder="1"/>
    <xf numFmtId="49" fontId="6" fillId="0" borderId="1" xfId="0" applyNumberFormat="1" applyFont="1" applyBorder="1" applyAlignment="1">
      <alignment vertical="top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164" fontId="6" fillId="0" borderId="1" xfId="1" applyNumberFormat="1" applyFont="1" applyFill="1" applyBorder="1" applyAlignment="1">
      <alignment vertical="center" wrapText="1"/>
    </xf>
    <xf numFmtId="49" fontId="11" fillId="6" borderId="1" xfId="0" applyNumberFormat="1" applyFont="1" applyFill="1" applyBorder="1" applyAlignment="1">
      <alignment horizontal="left" vertical="top" wrapText="1"/>
    </xf>
    <xf numFmtId="3" fontId="11" fillId="6" borderId="1" xfId="0" applyNumberFormat="1" applyFont="1" applyFill="1" applyBorder="1" applyAlignment="1">
      <alignment horizontal="left" vertical="center" wrapText="1"/>
    </xf>
    <xf numFmtId="164" fontId="11" fillId="6" borderId="1" xfId="1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right"/>
    </xf>
    <xf numFmtId="49" fontId="13" fillId="6" borderId="1" xfId="3" applyNumberFormat="1" applyFont="1" applyFill="1" applyBorder="1" applyAlignment="1">
      <alignment horizontal="left" vertical="top" wrapText="1"/>
    </xf>
    <xf numFmtId="49" fontId="6" fillId="6" borderId="1" xfId="4" applyNumberFormat="1" applyFont="1" applyFill="1" applyBorder="1" applyAlignment="1">
      <alignment horizontal="left" vertical="top" wrapText="1"/>
    </xf>
    <xf numFmtId="3" fontId="6" fillId="6" borderId="1" xfId="4" applyNumberFormat="1" applyFont="1" applyFill="1" applyBorder="1" applyAlignment="1">
      <alignment horizontal="left" vertical="center" wrapText="1"/>
    </xf>
    <xf numFmtId="164" fontId="6" fillId="6" borderId="1" xfId="1" quotePrefix="1" applyNumberFormat="1" applyFont="1" applyFill="1" applyBorder="1" applyAlignment="1">
      <alignment horizontal="left" vertical="center" wrapText="1"/>
    </xf>
    <xf numFmtId="164" fontId="6" fillId="6" borderId="1" xfId="1" applyNumberFormat="1" applyFont="1" applyFill="1" applyBorder="1" applyAlignment="1">
      <alignment horizontal="left" vertical="center" wrapText="1"/>
    </xf>
    <xf numFmtId="0" fontId="14" fillId="6" borderId="1" xfId="0" applyFont="1" applyFill="1" applyBorder="1"/>
    <xf numFmtId="49" fontId="6" fillId="6" borderId="1" xfId="4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wrapText="1"/>
    </xf>
    <xf numFmtId="49" fontId="6" fillId="8" borderId="1" xfId="0" applyNumberFormat="1" applyFont="1" applyFill="1" applyBorder="1" applyAlignment="1">
      <alignment horizontal="left" vertical="top" wrapText="1"/>
    </xf>
    <xf numFmtId="3" fontId="6" fillId="8" borderId="1" xfId="0" applyNumberFormat="1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0" fontId="15" fillId="6" borderId="1" xfId="0" applyFont="1" applyFill="1" applyBorder="1"/>
    <xf numFmtId="0" fontId="15" fillId="0" borderId="1" xfId="0" applyFont="1" applyBorder="1"/>
    <xf numFmtId="49" fontId="13" fillId="6" borderId="1" xfId="3" applyNumberFormat="1" applyFont="1" applyFill="1" applyBorder="1" applyAlignment="1">
      <alignment horizontal="left" wrapText="1"/>
    </xf>
    <xf numFmtId="3" fontId="13" fillId="6" borderId="1" xfId="3" applyNumberFormat="1" applyFont="1" applyFill="1" applyBorder="1" applyAlignment="1">
      <alignment horizontal="left" wrapText="1"/>
    </xf>
    <xf numFmtId="3" fontId="13" fillId="0" borderId="1" xfId="3" applyNumberFormat="1" applyFont="1" applyFill="1" applyBorder="1" applyAlignment="1">
      <alignment horizontal="left" vertical="center" wrapText="1"/>
    </xf>
    <xf numFmtId="49" fontId="3" fillId="0" borderId="1" xfId="5" applyNumberFormat="1" applyFont="1" applyBorder="1" applyAlignment="1">
      <alignment horizontal="left" vertical="top" wrapText="1"/>
    </xf>
    <xf numFmtId="3" fontId="3" fillId="0" borderId="1" xfId="5" applyNumberFormat="1" applyFont="1" applyBorder="1" applyAlignment="1">
      <alignment horizontal="center" vertical="center" wrapText="1"/>
    </xf>
    <xf numFmtId="49" fontId="3" fillId="0" borderId="1" xfId="5" applyNumberFormat="1" applyFont="1" applyBorder="1" applyAlignment="1">
      <alignment horizontal="left" wrapText="1"/>
    </xf>
    <xf numFmtId="0" fontId="2" fillId="0" borderId="1" xfId="5" applyFont="1" applyBorder="1"/>
    <xf numFmtId="0" fontId="5" fillId="0" borderId="1" xfId="5" applyFont="1" applyBorder="1"/>
    <xf numFmtId="0" fontId="2" fillId="6" borderId="1" xfId="5" applyFont="1" applyFill="1" applyBorder="1"/>
    <xf numFmtId="0" fontId="5" fillId="6" borderId="1" xfId="0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3" fontId="6" fillId="5" borderId="1" xfId="1" applyNumberFormat="1" applyFont="1" applyFill="1" applyBorder="1" applyAlignment="1">
      <alignment horizontal="left" vertical="center" wrapText="1"/>
    </xf>
    <xf numFmtId="49" fontId="3" fillId="5" borderId="1" xfId="1" applyNumberFormat="1" applyFont="1" applyFill="1" applyBorder="1" applyAlignment="1">
      <alignment horizontal="left" vertical="top" wrapText="1"/>
    </xf>
    <xf numFmtId="3" fontId="3" fillId="5" borderId="1" xfId="1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0" borderId="1" xfId="6" applyFont="1" applyBorder="1" applyAlignment="1">
      <alignment vertical="top"/>
    </xf>
    <xf numFmtId="9" fontId="2" fillId="0" borderId="1" xfId="2" applyFont="1" applyBorder="1"/>
    <xf numFmtId="16" fontId="2" fillId="0" borderId="1" xfId="2" applyNumberFormat="1" applyFont="1" applyBorder="1"/>
  </cellXfs>
  <cellStyles count="7">
    <cellStyle name="Bad" xfId="4" builtinId="27"/>
    <cellStyle name="Comma" xfId="1" builtinId="3"/>
    <cellStyle name="Good" xfId="3" builtinId="26"/>
    <cellStyle name="Normal" xfId="0" builtinId="0"/>
    <cellStyle name="Normal 15" xfId="6" xr:uid="{35B04785-23FF-455A-862C-A12C92FBE5CA}"/>
    <cellStyle name="Normal 3" xfId="5" xr:uid="{833A4FB5-D653-4D89-81D3-54EC95D17C42}"/>
    <cellStyle name="Percent" xfId="2" builtinId="5"/>
  </cellStyles>
  <dxfs count="0"/>
  <tableStyles count="1" defaultTableStyle="TableStyleMedium2" defaultPivotStyle="PivotStyleLight16">
    <tableStyle name="Invisible" pivot="0" table="0" count="0" xr9:uid="{673867F6-81DF-45A9-A230-C56C50F936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oilghana-my.sharepoint.com/personal/maureen_martey_goil_com_gh/Documents/Desktop/BUDGET%202025/GOIL%202025%20Budget%20fin%20update%20.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TENTIVE/Downloads/CONSOLIDATED%20BUDGET%202026-updated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 MASTER BUDGET"/>
      <sheetName val="CASHFLOW 2025"/>
      <sheetName val="VOLUME 2025"/>
      <sheetName val="MARGIN 2025"/>
      <sheetName val="2025 CAPEX BUDGET"/>
      <sheetName val="ITRECB 2025"/>
      <sheetName val="OPSMAINT2025"/>
      <sheetName val="2025 Recurrent Expenses"/>
      <sheetName val="HSSE RECURRENT BUDGET 2025"/>
      <sheetName val="ITDCAPB"/>
      <sheetName val="CAD 2024 BUDGET"/>
      <sheetName val="AVIATION 2024"/>
      <sheetName val="fuels volume"/>
      <sheetName val="RETURN ON EQUITY"/>
      <sheetName val="ACCOUNTS RECVBLE-TUROVER"/>
      <sheetName val="AVERAGE COLLECTION PERIOD"/>
      <sheetName val="RETURN ON ASSETS"/>
      <sheetName val="ACCNTS PAYABLE TUROVER RATIO"/>
      <sheetName val="CURRENT RATIO"/>
      <sheetName val="PROFIT TREND"/>
      <sheetName val="Sheet4"/>
      <sheetName val="RETURN ON ASSET"/>
      <sheetName val="Sheet10"/>
      <sheetName val="Sheet8"/>
      <sheetName val="MARGIN 2023 to Bortey"/>
      <sheetName val="GROSS PROFIT MARGIN"/>
      <sheetName val="EFFICIENCY"/>
      <sheetName val="GROSS PROFIT MARGIN 2022"/>
      <sheetName val="AVERAGE RECEIVABLE RATIO"/>
      <sheetName val="DAYS ACCOUNTS PAYABLE"/>
      <sheetName val="HSSE VEHICLES"/>
      <sheetName val="THIRD QTR RESULTS"/>
      <sheetName val="CAD BUDGET2"/>
      <sheetName val="Admin RECURRENT"/>
      <sheetName val="Summary 2022 Recur Exp"/>
      <sheetName val="SS 2022 BUDGET1"/>
      <sheetName val="SS 2022 BUDGET"/>
      <sheetName val="SS BUDGET"/>
      <sheetName val="ADMIN BUDGET 2022"/>
      <sheetName val="CAD BGT 2O22"/>
      <sheetName val="CAD BUDGET 22"/>
      <sheetName val="AVIATION"/>
      <sheetName val="BITUMEN"/>
      <sheetName val="AVIATION (2)"/>
      <sheetName val="Chart1"/>
      <sheetName val="Maintenance 2022"/>
      <sheetName val="FUEL MKT BGT 2022"/>
      <sheetName val="Distribution 2022"/>
      <sheetName val="CAD"/>
      <sheetName val="HSSE RECURRENT BUDGET 2022"/>
      <sheetName val="TSP CAPEX (2)"/>
      <sheetName val="HSSE RECURRENT BUDGET 2021"/>
      <sheetName val="NET PROFIT PERCENT"/>
      <sheetName val="Profitabilty"/>
      <sheetName val="AVG COLLTN PERIOD"/>
      <sheetName val="2021 Maintenance"/>
      <sheetName val="2021 ESTATE CAPITAL EXPENDITURE"/>
      <sheetName val="Sheet2"/>
      <sheetName val="ADMIN 2021 BUDGET"/>
      <sheetName val="2021 Distribution"/>
      <sheetName val="FUELS VOLUME 2025"/>
      <sheetName val="Sheet6"/>
      <sheetName val="Sheet7"/>
      <sheetName val="Sheet1"/>
      <sheetName val="2020 Recurrent Expenses"/>
      <sheetName val="2020 CAPEX"/>
      <sheetName val="2021 ESTATE CAPITAL EXPENDI (2"/>
      <sheetName val="MAINTENANCE2"/>
      <sheetName val="HSSE RECURRENT BUDGET 2020"/>
      <sheetName val="SAAS"/>
      <sheetName val="Sheet3"/>
      <sheetName val="Aviation F"/>
      <sheetName val="ADMIN 2020 BUDGET"/>
      <sheetName val="AVIATION KIT"/>
      <sheetName val="2020 Fcailities Budget_CAPEX"/>
      <sheetName val="MAINTENANCE"/>
      <sheetName val="DISTRIBUTION"/>
      <sheetName val="Marketing Budget 2020"/>
      <sheetName val="CA&amp;MK"/>
      <sheetName val="2019 H1 INDUSTRY"/>
      <sheetName val="2018 H1 INDUSTRY"/>
      <sheetName val="ATK Details"/>
    </sheetNames>
    <sheetDataSet>
      <sheetData sheetId="0"/>
      <sheetData sheetId="1"/>
      <sheetData sheetId="2"/>
      <sheetData sheetId="3"/>
      <sheetData sheetId="4">
        <row r="203">
          <cell r="B203">
            <v>12</v>
          </cell>
        </row>
      </sheetData>
      <sheetData sheetId="5"/>
      <sheetData sheetId="6">
        <row r="2">
          <cell r="H2">
            <v>18104153.719999999</v>
          </cell>
        </row>
      </sheetData>
      <sheetData sheetId="7"/>
      <sheetData sheetId="8">
        <row r="63">
          <cell r="J63">
            <v>352000</v>
          </cell>
        </row>
      </sheetData>
      <sheetData sheetId="9"/>
      <sheetData sheetId="10">
        <row r="111">
          <cell r="C111">
            <v>7143335.3816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URRENT EXPENDITURE-OPS"/>
      <sheetName val="RECURRENT EXPENDITURE-ORIGINAL"/>
      <sheetName val="RECURRENT EXPENDITURE-HR"/>
      <sheetName val="RECURRENT EXPENDITURE-ESTATE"/>
      <sheetName val="RECURRENT EXP-PROCUREMENT"/>
      <sheetName val="RECURRENT EXPENDITURE-HSSE-"/>
      <sheetName val="RECURRENT EXPENDITURE-LEGAL"/>
      <sheetName val="RECURRENT EXPENDITURE-GRP CEOMD"/>
      <sheetName val="RECURRENT EXPENDITURE-RISK"/>
      <sheetName val="RECURRENT EXPENDITURE-RESEARCH"/>
      <sheetName val="RECURRENT EXPENDITURE-NON FUELS"/>
      <sheetName val="RECURRENT EXPENDITURE-IT"/>
      <sheetName val="RECURRENT EXPENDITURE-BDU"/>
      <sheetName val="RECURRENT EXPENDITURE-MKTING"/>
      <sheetName val="RECURRENT EXPENDITURE-COO"/>
      <sheetName val="RECURRENT EXPENDITURE-TSPM"/>
      <sheetName val="CHART SHEET"/>
      <sheetName val="RECURRENT EXPENDITURE TSP"/>
      <sheetName val="Departments Codes"/>
      <sheetName val="RECURRENT EXPENDITURE-CIA"/>
      <sheetName val="RECURRENT EXPENDITURE-FINANCE"/>
      <sheetName val="SAMPLE"/>
      <sheetName val="TRAINING BREAKDOWN"/>
      <sheetName val="CAPITAL BUDGET"/>
      <sheetName val="REVENUE AND COST OF SALES "/>
      <sheetName val="REVENUE AND COST OF SALES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74D1-673A-4E44-B34B-CBFE16A3B918}">
  <dimension ref="B1:V277"/>
  <sheetViews>
    <sheetView tabSelected="1" topLeftCell="B1" workbookViewId="0">
      <pane xSplit="2" ySplit="5" topLeftCell="M183" activePane="bottomRight" state="frozen"/>
      <selection pane="topRight" activeCell="D1" sqref="D1"/>
      <selection pane="bottomLeft" activeCell="B5" sqref="B5"/>
      <selection pane="bottomRight" activeCell="C8" sqref="C8"/>
    </sheetView>
  </sheetViews>
  <sheetFormatPr defaultColWidth="8.86328125" defaultRowHeight="14.25"/>
  <cols>
    <col min="1" max="1" width="8.86328125" style="3"/>
    <col min="2" max="2" width="37" style="1" bestFit="1" customWidth="1"/>
    <col min="3" max="3" width="37" style="1" customWidth="1"/>
    <col min="4" max="16" width="11.73046875" style="3" bestFit="1" customWidth="1"/>
    <col min="17" max="17" width="12.265625" style="3" bestFit="1" customWidth="1"/>
    <col min="18" max="18" width="15" style="3" bestFit="1" customWidth="1"/>
    <col min="19" max="19" width="11.73046875" style="3" bestFit="1" customWidth="1"/>
    <col min="20" max="20" width="21.1328125" style="3" bestFit="1" customWidth="1"/>
    <col min="21" max="21" width="13.9296875" style="3" bestFit="1" customWidth="1"/>
    <col min="22" max="22" width="11.73046875" style="3" bestFit="1" customWidth="1"/>
    <col min="23" max="16384" width="8.86328125" style="3"/>
  </cols>
  <sheetData>
    <row r="1" spans="2:22"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3" t="s">
        <v>18</v>
      </c>
    </row>
    <row r="2" spans="2:22">
      <c r="B2" s="4"/>
      <c r="C2" s="4"/>
      <c r="D2" s="5" t="s">
        <v>19</v>
      </c>
      <c r="E2" s="6">
        <v>15000</v>
      </c>
      <c r="F2" s="5" t="s">
        <v>20</v>
      </c>
      <c r="G2" s="5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6">
        <v>18000</v>
      </c>
      <c r="M2" s="7" t="s">
        <v>26</v>
      </c>
      <c r="N2" s="7" t="s">
        <v>27</v>
      </c>
      <c r="O2" s="6">
        <v>16000</v>
      </c>
      <c r="P2" s="8">
        <v>17000</v>
      </c>
      <c r="Q2" s="7" t="s">
        <v>28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</row>
    <row r="3" spans="2:22">
      <c r="B3" s="9" t="s">
        <v>34</v>
      </c>
      <c r="C3" s="9" t="s">
        <v>35</v>
      </c>
    </row>
    <row r="4" spans="2:22">
      <c r="B4" s="10" t="s">
        <v>36</v>
      </c>
      <c r="C4" s="11"/>
    </row>
    <row r="5" spans="2:22" s="14" customFormat="1">
      <c r="B5" s="12">
        <v>62608</v>
      </c>
      <c r="C5" s="13" t="s">
        <v>37</v>
      </c>
      <c r="G5" s="15">
        <v>62608</v>
      </c>
      <c r="K5" s="14" t="s">
        <v>38</v>
      </c>
    </row>
    <row r="6" spans="2:22" s="18" customFormat="1">
      <c r="B6" s="16">
        <v>62609</v>
      </c>
      <c r="C6" s="17" t="s">
        <v>39</v>
      </c>
      <c r="G6" s="15">
        <v>62609</v>
      </c>
    </row>
    <row r="7" spans="2:22" s="14" customFormat="1">
      <c r="B7" s="12">
        <v>62610</v>
      </c>
      <c r="C7" s="13" t="s">
        <v>40</v>
      </c>
      <c r="G7" s="15">
        <v>62610</v>
      </c>
    </row>
    <row r="8" spans="2:22" s="14" customFormat="1">
      <c r="B8" s="12">
        <v>62603</v>
      </c>
      <c r="C8" s="13" t="s">
        <v>41</v>
      </c>
      <c r="G8" s="15">
        <v>62603</v>
      </c>
    </row>
    <row r="9" spans="2:22" s="14" customFormat="1">
      <c r="B9" s="12">
        <v>62602</v>
      </c>
      <c r="C9" s="13" t="s">
        <v>42</v>
      </c>
      <c r="G9" s="15">
        <v>62602</v>
      </c>
    </row>
    <row r="10" spans="2:22" s="14" customFormat="1">
      <c r="B10" s="12">
        <v>62601</v>
      </c>
      <c r="C10" s="13" t="s">
        <v>43</v>
      </c>
      <c r="G10" s="15">
        <v>62601</v>
      </c>
    </row>
    <row r="11" spans="2:22" s="14" customFormat="1">
      <c r="B11" s="12">
        <v>62604</v>
      </c>
      <c r="C11" s="13" t="s">
        <v>44</v>
      </c>
      <c r="G11" s="15">
        <v>62604</v>
      </c>
    </row>
    <row r="12" spans="2:22">
      <c r="B12" s="12">
        <v>62612</v>
      </c>
      <c r="C12" s="11" t="s">
        <v>45</v>
      </c>
      <c r="D12" s="19" t="str">
        <f>TRIM($B12)&amp;"-"&amp;TEXT(D$2,"00000")</f>
        <v>62612-01001</v>
      </c>
      <c r="E12" s="19" t="str">
        <f>TRIM($B12)&amp;"-"&amp;TEXT(E$2,"00000")</f>
        <v>62612-15000</v>
      </c>
      <c r="F12" s="19" t="str">
        <f>TRIM($B12)&amp;"-"&amp;TEXT(F$2,"00000")</f>
        <v>62612-05001</v>
      </c>
      <c r="G12" s="19" t="str">
        <f t="shared" ref="G12:V12" si="0">TRIM($B12)&amp;"-"&amp;TEXT(G$2,"00000")</f>
        <v>62612-07000</v>
      </c>
      <c r="H12" s="19" t="str">
        <f t="shared" si="0"/>
        <v>62612-02001</v>
      </c>
      <c r="I12" s="19" t="str">
        <f t="shared" si="0"/>
        <v>62612-01002</v>
      </c>
      <c r="J12" s="19" t="str">
        <f t="shared" si="0"/>
        <v>62612-01003</v>
      </c>
      <c r="K12" s="19" t="str">
        <f t="shared" si="0"/>
        <v>62612-03001</v>
      </c>
      <c r="L12" s="19" t="str">
        <f t="shared" si="0"/>
        <v>62612-18000</v>
      </c>
      <c r="M12" s="19" t="str">
        <f t="shared" si="0"/>
        <v>62612-01004</v>
      </c>
      <c r="N12" s="19" t="str">
        <f t="shared" si="0"/>
        <v>62612-01005</v>
      </c>
      <c r="O12" s="19" t="str">
        <f t="shared" si="0"/>
        <v>62612-16000</v>
      </c>
      <c r="P12" s="19" t="str">
        <f t="shared" si="0"/>
        <v>62612-17000</v>
      </c>
      <c r="Q12" s="19" t="str">
        <f t="shared" si="0"/>
        <v>62612-01007</v>
      </c>
      <c r="R12" s="19" t="str">
        <f t="shared" si="0"/>
        <v>62612-04001</v>
      </c>
      <c r="S12" s="19" t="str">
        <f t="shared" si="0"/>
        <v>62612-06001</v>
      </c>
      <c r="T12" s="19" t="str">
        <f t="shared" si="0"/>
        <v>62612-01006</v>
      </c>
      <c r="U12" s="19" t="str">
        <f t="shared" si="0"/>
        <v>62612-08001</v>
      </c>
      <c r="V12" s="19" t="str">
        <f t="shared" si="0"/>
        <v>62612-01008</v>
      </c>
    </row>
    <row r="13" spans="2:22">
      <c r="B13" s="20" t="s">
        <v>46</v>
      </c>
      <c r="C13" s="11" t="s">
        <v>47</v>
      </c>
      <c r="G13" s="14">
        <v>15299</v>
      </c>
    </row>
    <row r="14" spans="2:22">
      <c r="B14" s="21" t="s">
        <v>48</v>
      </c>
      <c r="C14" s="22"/>
    </row>
    <row r="15" spans="2:22">
      <c r="B15" s="10"/>
      <c r="C15" s="11"/>
    </row>
    <row r="16" spans="2:22">
      <c r="B16" s="10" t="s">
        <v>49</v>
      </c>
      <c r="C16" s="11"/>
    </row>
    <row r="17" spans="2:22" s="14" customFormat="1">
      <c r="B17" s="12">
        <v>62614</v>
      </c>
      <c r="C17" s="13" t="s">
        <v>50</v>
      </c>
      <c r="G17" s="15">
        <v>62614</v>
      </c>
    </row>
    <row r="18" spans="2:22">
      <c r="B18" s="12">
        <v>62778</v>
      </c>
      <c r="C18" s="23" t="s">
        <v>51</v>
      </c>
      <c r="D18" s="19" t="str">
        <f>TRIM($B18)&amp;"-"&amp;TEXT(D$2,"00000")</f>
        <v>62778-01001</v>
      </c>
      <c r="E18" s="19" t="str">
        <f>TRIM($B18)&amp;"-"&amp;TEXT(E$2,"00000")</f>
        <v>62778-15000</v>
      </c>
      <c r="F18" s="19" t="str">
        <f>TRIM($B18)&amp;"-"&amp;TEXT(F$2,"00000")</f>
        <v>62778-05001</v>
      </c>
      <c r="G18" s="19" t="str">
        <f>TRIM($B18)&amp;"-"&amp;TEXT(G$2,"00000")</f>
        <v>62778-07000</v>
      </c>
      <c r="H18" s="19" t="str">
        <f t="shared" ref="H18:V18" si="1">TRIM($B18)&amp;"-"&amp;TEXT(H$2,"00000")</f>
        <v>62778-02001</v>
      </c>
      <c r="I18" s="19" t="str">
        <f t="shared" si="1"/>
        <v>62778-01002</v>
      </c>
      <c r="J18" s="19" t="str">
        <f t="shared" si="1"/>
        <v>62778-01003</v>
      </c>
      <c r="K18" s="19" t="str">
        <f t="shared" si="1"/>
        <v>62778-03001</v>
      </c>
      <c r="L18" s="19" t="str">
        <f t="shared" si="1"/>
        <v>62778-18000</v>
      </c>
      <c r="M18" s="19" t="str">
        <f t="shared" si="1"/>
        <v>62778-01004</v>
      </c>
      <c r="N18" s="19" t="str">
        <f t="shared" si="1"/>
        <v>62778-01005</v>
      </c>
      <c r="O18" s="19" t="str">
        <f t="shared" si="1"/>
        <v>62778-16000</v>
      </c>
      <c r="P18" s="19" t="str">
        <f t="shared" si="1"/>
        <v>62778-17000</v>
      </c>
      <c r="Q18" s="19" t="str">
        <f t="shared" si="1"/>
        <v>62778-01007</v>
      </c>
      <c r="R18" s="19" t="str">
        <f t="shared" si="1"/>
        <v>62778-04001</v>
      </c>
      <c r="S18" s="19" t="str">
        <f t="shared" si="1"/>
        <v>62778-06001</v>
      </c>
      <c r="T18" s="19" t="str">
        <f t="shared" si="1"/>
        <v>62778-01006</v>
      </c>
      <c r="U18" s="19" t="str">
        <f t="shared" si="1"/>
        <v>62778-08001</v>
      </c>
      <c r="V18" s="19" t="str">
        <f t="shared" si="1"/>
        <v>62778-01008</v>
      </c>
    </row>
    <row r="19" spans="2:22">
      <c r="B19" s="20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2:22" ht="14.25" customHeight="1">
      <c r="B20" s="12">
        <v>62779</v>
      </c>
      <c r="C20" s="11" t="s">
        <v>52</v>
      </c>
      <c r="D20" s="19" t="str">
        <f t="shared" ref="D20:V20" si="2">TRIM($B20)&amp;"-"&amp;TEXT(D$2,"00000")</f>
        <v>62779-01001</v>
      </c>
      <c r="E20" s="19" t="str">
        <f t="shared" si="2"/>
        <v>62779-15000</v>
      </c>
      <c r="F20" s="19" t="str">
        <f t="shared" si="2"/>
        <v>62779-05001</v>
      </c>
      <c r="G20" s="19" t="str">
        <f t="shared" si="2"/>
        <v>62779-07000</v>
      </c>
      <c r="H20" s="19" t="str">
        <f t="shared" si="2"/>
        <v>62779-02001</v>
      </c>
      <c r="I20" s="19" t="str">
        <f t="shared" si="2"/>
        <v>62779-01002</v>
      </c>
      <c r="J20" s="19" t="str">
        <f t="shared" si="2"/>
        <v>62779-01003</v>
      </c>
      <c r="K20" s="19" t="str">
        <f t="shared" si="2"/>
        <v>62779-03001</v>
      </c>
      <c r="L20" s="19" t="str">
        <f t="shared" si="2"/>
        <v>62779-18000</v>
      </c>
      <c r="M20" s="19" t="str">
        <f t="shared" si="2"/>
        <v>62779-01004</v>
      </c>
      <c r="N20" s="19" t="str">
        <f t="shared" si="2"/>
        <v>62779-01005</v>
      </c>
      <c r="O20" s="19" t="str">
        <f t="shared" si="2"/>
        <v>62779-16000</v>
      </c>
      <c r="P20" s="19" t="str">
        <f t="shared" si="2"/>
        <v>62779-17000</v>
      </c>
      <c r="Q20" s="19" t="str">
        <f t="shared" si="2"/>
        <v>62779-01007</v>
      </c>
      <c r="R20" s="19" t="str">
        <f t="shared" si="2"/>
        <v>62779-04001</v>
      </c>
      <c r="S20" s="19" t="str">
        <f t="shared" si="2"/>
        <v>62779-06001</v>
      </c>
      <c r="T20" s="19" t="str">
        <f t="shared" si="2"/>
        <v>62779-01006</v>
      </c>
      <c r="U20" s="19" t="str">
        <f t="shared" si="2"/>
        <v>62779-08001</v>
      </c>
      <c r="V20" s="19" t="str">
        <f t="shared" si="2"/>
        <v>62779-01008</v>
      </c>
    </row>
    <row r="21" spans="2:22">
      <c r="B21" s="20"/>
      <c r="C21" s="25" t="s">
        <v>53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2:22">
      <c r="B22" s="20"/>
      <c r="C22" s="25" t="s">
        <v>54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2:22">
      <c r="B23" s="20"/>
      <c r="C23" s="25" t="s">
        <v>55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2:22">
      <c r="B24" s="20"/>
      <c r="C24" s="25" t="s">
        <v>56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2:22">
      <c r="B25" s="20"/>
      <c r="C25" s="25" t="s">
        <v>57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2:22">
      <c r="B26" s="20"/>
      <c r="C26" s="25" t="s">
        <v>58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2:22">
      <c r="B27" s="20"/>
      <c r="C27" s="25" t="s">
        <v>59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2:22">
      <c r="B28" s="20"/>
      <c r="C28" s="11"/>
    </row>
    <row r="29" spans="2:22">
      <c r="B29" s="20"/>
      <c r="C29" s="11" t="s">
        <v>60</v>
      </c>
    </row>
    <row r="30" spans="2:22">
      <c r="B30" s="20"/>
      <c r="C30" s="11"/>
    </row>
    <row r="31" spans="2:22">
      <c r="B31" s="21" t="s">
        <v>48</v>
      </c>
      <c r="C31" s="22"/>
    </row>
    <row r="32" spans="2:22">
      <c r="B32" s="26"/>
      <c r="C32" s="11"/>
    </row>
    <row r="33" spans="2:22">
      <c r="B33" s="10" t="s">
        <v>61</v>
      </c>
      <c r="C33" s="11"/>
    </row>
    <row r="34" spans="2:22" s="14" customFormat="1">
      <c r="B34" s="12" t="s">
        <v>62</v>
      </c>
      <c r="C34" s="13" t="s">
        <v>63</v>
      </c>
      <c r="J34" s="15" t="str">
        <f>TRIM($B34)&amp;"-"&amp;TEXT(J$2,"00000")</f>
        <v>61805-01003</v>
      </c>
      <c r="R34" s="15" t="str">
        <f>TRIM($B34)&amp;"-"&amp;TEXT(R$2,"00000")</f>
        <v>61805-04001</v>
      </c>
    </row>
    <row r="35" spans="2:22" s="14" customFormat="1">
      <c r="B35" s="12" t="s">
        <v>64</v>
      </c>
      <c r="C35" s="13" t="s">
        <v>65</v>
      </c>
      <c r="D35" s="15" t="str">
        <f>TRIM($B35)&amp;"-"&amp;TEXT(D$2,"00000")</f>
        <v>62618-01001</v>
      </c>
      <c r="E35" s="15" t="str">
        <f>TRIM($B35)&amp;"-"&amp;TEXT(E$2,"00000")</f>
        <v>62618-15000</v>
      </c>
      <c r="F35" s="15" t="str">
        <f>TRIM($B35)&amp;"-"&amp;TEXT(F$2,"00000")</f>
        <v>62618-05001</v>
      </c>
      <c r="G35" s="15" t="str">
        <f>TRIM($B35)&amp;"-"&amp;TEXT(G$2,"00000")</f>
        <v>62618-07000</v>
      </c>
      <c r="I35" s="15" t="str">
        <f>TRIM($B35)&amp;"-"&amp;TEXT(I$2,"00000")</f>
        <v>62618-01002</v>
      </c>
      <c r="J35" s="15" t="str">
        <f>TRIM($B35)&amp;"-"&amp;TEXT(J$2,"00000")</f>
        <v>62618-01003</v>
      </c>
    </row>
    <row r="36" spans="2:22" s="14" customFormat="1">
      <c r="B36" s="27">
        <v>62607</v>
      </c>
      <c r="C36" s="13" t="s">
        <v>66</v>
      </c>
      <c r="G36" s="15">
        <v>62607</v>
      </c>
    </row>
    <row r="37" spans="2:22" s="14" customFormat="1">
      <c r="B37" s="27">
        <v>62611</v>
      </c>
      <c r="C37" s="13" t="s">
        <v>67</v>
      </c>
      <c r="G37" s="15">
        <v>62611</v>
      </c>
    </row>
    <row r="38" spans="2:22" s="14" customFormat="1">
      <c r="B38" s="28">
        <v>62613</v>
      </c>
      <c r="C38" s="29" t="s">
        <v>68</v>
      </c>
      <c r="D38" s="15" t="str">
        <f>TRIM($B38)&amp;"-"&amp;TEXT(D$2,"00000")</f>
        <v>62613-01001</v>
      </c>
      <c r="E38" s="15" t="str">
        <f>TRIM($B38)&amp;"-"&amp;TEXT(E$2,"00000")</f>
        <v>62613-15000</v>
      </c>
      <c r="F38" s="15" t="str">
        <f>TRIM($B38)&amp;"-"&amp;TEXT(F$2,"00000")</f>
        <v>62613-05001</v>
      </c>
      <c r="G38" s="15" t="str">
        <f>TRIM($B38)&amp;"-"&amp;TEXT(G$2,"00000")</f>
        <v>62613-07000</v>
      </c>
      <c r="H38" s="15" t="str">
        <f t="shared" ref="H38:V39" si="3">TRIM($B38)&amp;"-"&amp;TEXT(H$2,"00000")</f>
        <v>62613-02001</v>
      </c>
      <c r="I38" s="15" t="str">
        <f t="shared" si="3"/>
        <v>62613-01002</v>
      </c>
      <c r="J38" s="15" t="str">
        <f t="shared" si="3"/>
        <v>62613-01003</v>
      </c>
      <c r="K38" s="15" t="str">
        <f t="shared" si="3"/>
        <v>62613-03001</v>
      </c>
      <c r="L38" s="15" t="str">
        <f t="shared" si="3"/>
        <v>62613-18000</v>
      </c>
      <c r="M38" s="15" t="str">
        <f t="shared" si="3"/>
        <v>62613-01004</v>
      </c>
      <c r="N38" s="15" t="str">
        <f t="shared" si="3"/>
        <v>62613-01005</v>
      </c>
      <c r="O38" s="15" t="str">
        <f t="shared" si="3"/>
        <v>62613-16000</v>
      </c>
      <c r="P38" s="15" t="str">
        <f t="shared" si="3"/>
        <v>62613-17000</v>
      </c>
      <c r="Q38" s="15" t="str">
        <f t="shared" si="3"/>
        <v>62613-01007</v>
      </c>
      <c r="R38" s="15" t="str">
        <f t="shared" si="3"/>
        <v>62613-04001</v>
      </c>
      <c r="S38" s="15" t="str">
        <f t="shared" si="3"/>
        <v>62613-06001</v>
      </c>
      <c r="T38" s="15" t="str">
        <f t="shared" si="3"/>
        <v>62613-01006</v>
      </c>
      <c r="U38" s="15" t="str">
        <f t="shared" si="3"/>
        <v>62613-08001</v>
      </c>
      <c r="V38" s="15" t="str">
        <f t="shared" si="3"/>
        <v>62613-01008</v>
      </c>
    </row>
    <row r="39" spans="2:22" s="14" customFormat="1" ht="15.75" customHeight="1">
      <c r="B39" s="27" t="s">
        <v>69</v>
      </c>
      <c r="C39" s="13" t="s">
        <v>70</v>
      </c>
      <c r="G39" s="15" t="str">
        <f>TRIM($B39)&amp;"-"&amp;TEXT(G$2,"00000")</f>
        <v>62615-07000</v>
      </c>
      <c r="J39" s="15" t="str">
        <f>TRIM($B39)&amp;"-"&amp;TEXT(J$2,"00000")</f>
        <v>62615-01003</v>
      </c>
      <c r="K39" s="15" t="str">
        <f>TRIM($B39)&amp;"-"&amp;TEXT(K$2,"00000")</f>
        <v>62615-03001</v>
      </c>
      <c r="O39" s="15" t="str">
        <f>TRIM($B39)&amp;"-"&amp;TEXT(O$2,"00000")</f>
        <v>62615-16000</v>
      </c>
      <c r="P39" s="15" t="str">
        <f>TRIM($B39)&amp;"-"&amp;TEXT(P$2,"00000")</f>
        <v>62615-17000</v>
      </c>
      <c r="R39" s="15" t="str">
        <f t="shared" si="3"/>
        <v>62615-04001</v>
      </c>
    </row>
    <row r="40" spans="2:22" s="14" customFormat="1">
      <c r="B40" s="27">
        <v>62616</v>
      </c>
      <c r="C40" s="13" t="s">
        <v>71</v>
      </c>
      <c r="D40" s="15" t="str">
        <f>TRIM($B40)&amp;"-"&amp;TEXT(D$2,"00000")</f>
        <v>62616-01001</v>
      </c>
      <c r="E40" s="15" t="str">
        <f>TRIM($B40)&amp;"-"&amp;TEXT(E$2,"00000")</f>
        <v>62616-15000</v>
      </c>
      <c r="F40" s="15" t="str">
        <f>TRIM($B40)&amp;"-"&amp;TEXT(F$2,"00000")</f>
        <v>62616-05001</v>
      </c>
      <c r="G40" s="15" t="str">
        <f>TRIM($B40)&amp;"-"&amp;TEXT(G$2,"00000")</f>
        <v>62616-07000</v>
      </c>
      <c r="H40" s="15" t="str">
        <f>TRIM($B40)&amp;"-"&amp;TEXT(H$2,"00000")</f>
        <v>62616-02001</v>
      </c>
      <c r="I40" s="15" t="str">
        <f>TRIM($B40)&amp;"-"&amp;TEXT(I$2,"00000")</f>
        <v>62616-01002</v>
      </c>
      <c r="J40" s="15" t="str">
        <f>TRIM($B40)&amp;"-"&amp;TEXT(J$2,"00000")</f>
        <v>62616-01003</v>
      </c>
      <c r="K40" s="15" t="str">
        <f>TRIM($B40)&amp;"-"&amp;TEXT(K$2,"00000")</f>
        <v>62616-03001</v>
      </c>
      <c r="L40" s="15" t="str">
        <f>TRIM($B40)&amp;"-"&amp;TEXT(L$2,"00000")</f>
        <v>62616-18000</v>
      </c>
      <c r="M40" s="15" t="str">
        <f>TRIM($B40)&amp;"-"&amp;TEXT(M$2,"00000")</f>
        <v>62616-01004</v>
      </c>
      <c r="N40" s="15" t="str">
        <f>TRIM($B40)&amp;"-"&amp;TEXT(N$2,"00000")</f>
        <v>62616-01005</v>
      </c>
      <c r="O40" s="15" t="str">
        <f>TRIM($B40)&amp;"-"&amp;TEXT(O$2,"00000")</f>
        <v>62616-16000</v>
      </c>
      <c r="P40" s="15" t="str">
        <f>TRIM($B40)&amp;"-"&amp;TEXT(P$2,"00000")</f>
        <v>62616-17000</v>
      </c>
      <c r="Q40" s="15" t="str">
        <f t="shared" ref="Q40:V40" si="4">TRIM($B40)&amp;"-"&amp;TEXT(Q$2,"00000")</f>
        <v>62616-01007</v>
      </c>
      <c r="R40" s="15" t="str">
        <f t="shared" si="4"/>
        <v>62616-04001</v>
      </c>
      <c r="S40" s="15" t="str">
        <f t="shared" si="4"/>
        <v>62616-06001</v>
      </c>
      <c r="T40" s="15" t="str">
        <f t="shared" si="4"/>
        <v>62616-01006</v>
      </c>
      <c r="U40" s="15" t="str">
        <f t="shared" si="4"/>
        <v>62616-08001</v>
      </c>
      <c r="V40" s="15" t="str">
        <f t="shared" si="4"/>
        <v>62616-01008</v>
      </c>
    </row>
    <row r="41" spans="2:22" s="14" customFormat="1">
      <c r="B41" s="27"/>
      <c r="C41" s="13" t="s">
        <v>72</v>
      </c>
    </row>
    <row r="42" spans="2:22" s="14" customFormat="1">
      <c r="B42" s="27"/>
      <c r="C42" s="13" t="s">
        <v>73</v>
      </c>
    </row>
    <row r="43" spans="2:22">
      <c r="B43" s="30"/>
      <c r="C43" s="31" t="s">
        <v>74</v>
      </c>
    </row>
    <row r="44" spans="2:22" s="14" customFormat="1">
      <c r="B44" s="27">
        <v>62617</v>
      </c>
      <c r="C44" s="13" t="s">
        <v>75</v>
      </c>
      <c r="G44" s="15">
        <v>62617</v>
      </c>
    </row>
    <row r="45" spans="2:22">
      <c r="B45" s="27">
        <v>62619</v>
      </c>
      <c r="C45" s="11" t="s">
        <v>76</v>
      </c>
      <c r="T45" s="19" t="str">
        <f t="shared" ref="T45" si="5">TRIM($B45)&amp;"-"&amp;TEXT(T$2,"00000")</f>
        <v>62619-01006</v>
      </c>
    </row>
    <row r="46" spans="2:22">
      <c r="B46" s="27">
        <v>62620</v>
      </c>
      <c r="C46" s="11" t="s">
        <v>77</v>
      </c>
      <c r="G46" s="19" t="str">
        <f>TRIM($B46)&amp;"-"&amp;TEXT(G$2,"00000")</f>
        <v>62620-07000</v>
      </c>
      <c r="J46" s="19" t="str">
        <f>TRIM($B46)&amp;"-"&amp;TEXT(J$2,"00000")</f>
        <v>62620-01003</v>
      </c>
    </row>
    <row r="47" spans="2:22" s="14" customFormat="1">
      <c r="B47" s="27">
        <v>62723</v>
      </c>
      <c r="C47" s="13" t="s">
        <v>78</v>
      </c>
      <c r="G47" s="15">
        <v>62723</v>
      </c>
    </row>
    <row r="48" spans="2:22">
      <c r="B48" s="27">
        <v>62724</v>
      </c>
      <c r="C48" s="11" t="s">
        <v>79</v>
      </c>
      <c r="D48" s="19" t="str">
        <f t="shared" ref="D48:S49" si="6">TRIM($B48)&amp;"-"&amp;TEXT(D$2,"00000")</f>
        <v>62724-01001</v>
      </c>
      <c r="E48" s="19" t="str">
        <f t="shared" si="6"/>
        <v>62724-15000</v>
      </c>
      <c r="F48" s="19" t="str">
        <f t="shared" si="6"/>
        <v>62724-05001</v>
      </c>
      <c r="G48" s="19" t="str">
        <f t="shared" si="6"/>
        <v>62724-07000</v>
      </c>
      <c r="H48" s="19" t="str">
        <f t="shared" si="6"/>
        <v>62724-02001</v>
      </c>
      <c r="I48" s="19" t="str">
        <f t="shared" si="6"/>
        <v>62724-01002</v>
      </c>
      <c r="J48" s="19" t="str">
        <f t="shared" si="6"/>
        <v>62724-01003</v>
      </c>
      <c r="K48" s="19" t="str">
        <f t="shared" si="6"/>
        <v>62724-03001</v>
      </c>
      <c r="L48" s="19" t="str">
        <f t="shared" si="6"/>
        <v>62724-18000</v>
      </c>
      <c r="M48" s="19" t="str">
        <f t="shared" si="6"/>
        <v>62724-01004</v>
      </c>
      <c r="N48" s="19" t="str">
        <f t="shared" si="6"/>
        <v>62724-01005</v>
      </c>
      <c r="O48" s="19" t="str">
        <f t="shared" si="6"/>
        <v>62724-16000</v>
      </c>
      <c r="P48" s="19" t="str">
        <f t="shared" si="6"/>
        <v>62724-17000</v>
      </c>
      <c r="Q48" s="19" t="str">
        <f t="shared" si="6"/>
        <v>62724-01007</v>
      </c>
      <c r="R48" s="19" t="str">
        <f t="shared" si="6"/>
        <v>62724-04001</v>
      </c>
      <c r="S48" s="19" t="str">
        <f t="shared" si="6"/>
        <v>62724-06001</v>
      </c>
      <c r="T48" s="19" t="str">
        <f t="shared" ref="T48:AH49" si="7">TRIM($B48)&amp;"-"&amp;TEXT(T$2,"00000")</f>
        <v>62724-01006</v>
      </c>
      <c r="U48" s="19" t="str">
        <f t="shared" si="7"/>
        <v>62724-08001</v>
      </c>
      <c r="V48" s="19" t="str">
        <f t="shared" si="7"/>
        <v>62724-01008</v>
      </c>
    </row>
    <row r="49" spans="2:22">
      <c r="B49" s="27" t="s">
        <v>80</v>
      </c>
      <c r="C49" s="32" t="s">
        <v>81</v>
      </c>
      <c r="D49" s="19" t="str">
        <f t="shared" si="6"/>
        <v>62725-01001</v>
      </c>
      <c r="E49" s="19" t="str">
        <f t="shared" si="6"/>
        <v>62725-15000</v>
      </c>
      <c r="F49" s="19" t="str">
        <f t="shared" si="6"/>
        <v>62725-05001</v>
      </c>
      <c r="G49" s="19" t="str">
        <f t="shared" si="6"/>
        <v>62725-07000</v>
      </c>
      <c r="H49" s="19" t="str">
        <f t="shared" si="6"/>
        <v>62725-02001</v>
      </c>
      <c r="I49" s="19" t="str">
        <f t="shared" si="6"/>
        <v>62725-01002</v>
      </c>
      <c r="J49" s="19" t="str">
        <f t="shared" si="6"/>
        <v>62725-01003</v>
      </c>
      <c r="K49" s="19" t="str">
        <f t="shared" si="6"/>
        <v>62725-03001</v>
      </c>
      <c r="L49" s="19" t="str">
        <f t="shared" si="6"/>
        <v>62725-18000</v>
      </c>
      <c r="M49" s="19" t="str">
        <f t="shared" si="6"/>
        <v>62725-01004</v>
      </c>
      <c r="N49" s="19" t="str">
        <f t="shared" si="6"/>
        <v>62725-01005</v>
      </c>
      <c r="O49" s="19" t="str">
        <f t="shared" si="6"/>
        <v>62725-16000</v>
      </c>
      <c r="P49" s="19" t="str">
        <f t="shared" si="6"/>
        <v>62725-17000</v>
      </c>
      <c r="Q49" s="19" t="str">
        <f t="shared" si="6"/>
        <v>62725-01007</v>
      </c>
      <c r="R49" s="19" t="str">
        <f t="shared" si="6"/>
        <v>62725-04001</v>
      </c>
      <c r="S49" s="19" t="str">
        <f t="shared" si="6"/>
        <v>62725-06001</v>
      </c>
      <c r="T49" s="19" t="str">
        <f t="shared" si="7"/>
        <v>62725-01006</v>
      </c>
      <c r="U49" s="19" t="str">
        <f t="shared" si="7"/>
        <v>62725-08001</v>
      </c>
      <c r="V49" s="19" t="str">
        <f t="shared" si="7"/>
        <v>62725-01008</v>
      </c>
    </row>
    <row r="50" spans="2:22">
      <c r="B50" s="21" t="s">
        <v>48</v>
      </c>
      <c r="C50" s="22"/>
    </row>
    <row r="51" spans="2:22">
      <c r="B51" s="10"/>
      <c r="C51" s="31"/>
    </row>
    <row r="52" spans="2:22">
      <c r="B52" s="10" t="s">
        <v>82</v>
      </c>
      <c r="C52" s="11"/>
    </row>
    <row r="53" spans="2:22" s="14" customFormat="1">
      <c r="B53" s="33">
        <v>61603</v>
      </c>
      <c r="C53" s="34" t="s">
        <v>83</v>
      </c>
      <c r="S53" s="15">
        <v>61603</v>
      </c>
    </row>
    <row r="54" spans="2:22" s="14" customFormat="1">
      <c r="B54" s="35" t="s">
        <v>84</v>
      </c>
      <c r="C54" s="35" t="s">
        <v>85</v>
      </c>
      <c r="S54" s="36" t="s">
        <v>84</v>
      </c>
    </row>
    <row r="55" spans="2:22" s="14" customFormat="1" ht="25.5">
      <c r="B55" s="33">
        <v>62202</v>
      </c>
      <c r="C55" s="34" t="s">
        <v>86</v>
      </c>
      <c r="S55" s="15">
        <v>62202</v>
      </c>
    </row>
    <row r="56" spans="2:22" s="14" customFormat="1">
      <c r="B56" s="27">
        <v>62773</v>
      </c>
      <c r="C56" s="34" t="s">
        <v>87</v>
      </c>
      <c r="D56" s="15" t="str">
        <f t="shared" ref="D56:R56" si="8">TRIM($B56)&amp;"-"&amp;TEXT(D$2,"00000")</f>
        <v>62773-01001</v>
      </c>
      <c r="E56" s="15" t="str">
        <f t="shared" si="8"/>
        <v>62773-15000</v>
      </c>
      <c r="F56" s="15" t="str">
        <f t="shared" si="8"/>
        <v>62773-05001</v>
      </c>
      <c r="G56" s="15" t="str">
        <f t="shared" si="8"/>
        <v>62773-07000</v>
      </c>
      <c r="H56" s="15" t="str">
        <f t="shared" si="8"/>
        <v>62773-02001</v>
      </c>
      <c r="I56" s="15" t="str">
        <f t="shared" si="8"/>
        <v>62773-01002</v>
      </c>
      <c r="J56" s="15" t="str">
        <f t="shared" si="8"/>
        <v>62773-01003</v>
      </c>
      <c r="K56" s="15" t="str">
        <f t="shared" si="8"/>
        <v>62773-03001</v>
      </c>
      <c r="L56" s="15" t="str">
        <f t="shared" si="8"/>
        <v>62773-18000</v>
      </c>
      <c r="M56" s="15" t="str">
        <f t="shared" si="8"/>
        <v>62773-01004</v>
      </c>
      <c r="N56" s="15" t="str">
        <f t="shared" si="8"/>
        <v>62773-01005</v>
      </c>
      <c r="O56" s="15" t="str">
        <f t="shared" si="8"/>
        <v>62773-16000</v>
      </c>
      <c r="P56" s="15" t="str">
        <f t="shared" si="8"/>
        <v>62773-17000</v>
      </c>
      <c r="Q56" s="15" t="str">
        <f t="shared" si="8"/>
        <v>62773-01007</v>
      </c>
      <c r="R56" s="15" t="str">
        <f t="shared" si="8"/>
        <v>62773-04001</v>
      </c>
      <c r="S56" s="15" t="str">
        <f>TRIM($B56)&amp;"-"&amp;TEXT(S$2,"00000")</f>
        <v>62773-06001</v>
      </c>
      <c r="T56" s="15" t="str">
        <f>TRIM($B56)&amp;"-"&amp;TEXT(T$2,"00000")</f>
        <v>62773-01006</v>
      </c>
      <c r="U56" s="15" t="str">
        <f>TRIM($B56)&amp;"-"&amp;TEXT(U$2,"00000")</f>
        <v>62773-08001</v>
      </c>
      <c r="V56" s="15" t="str">
        <f>TRIM($B56)&amp;"-"&amp;TEXT(V$2,"00000")</f>
        <v>62773-01008</v>
      </c>
    </row>
    <row r="57" spans="2:22">
      <c r="B57" s="21" t="s">
        <v>48</v>
      </c>
      <c r="C57" s="22"/>
    </row>
    <row r="58" spans="2:22">
      <c r="B58" s="20"/>
      <c r="C58" s="11"/>
    </row>
    <row r="59" spans="2:22" ht="26.25">
      <c r="B59" s="10" t="s">
        <v>88</v>
      </c>
      <c r="C59" s="11"/>
    </row>
    <row r="60" spans="2:22" s="14" customFormat="1">
      <c r="B60" s="12">
        <v>61604</v>
      </c>
      <c r="C60" s="13" t="s">
        <v>89</v>
      </c>
      <c r="H60" s="15">
        <v>61604</v>
      </c>
    </row>
    <row r="61" spans="2:22" s="14" customFormat="1">
      <c r="B61" s="12">
        <v>61806</v>
      </c>
      <c r="C61" s="13" t="s">
        <v>90</v>
      </c>
      <c r="H61" s="15">
        <v>61806</v>
      </c>
    </row>
    <row r="62" spans="2:22" s="14" customFormat="1">
      <c r="B62" s="12">
        <v>62722</v>
      </c>
      <c r="C62" s="13" t="s">
        <v>91</v>
      </c>
      <c r="H62" s="15">
        <v>62722</v>
      </c>
    </row>
    <row r="63" spans="2:22" s="14" customFormat="1">
      <c r="B63" s="12">
        <v>62780</v>
      </c>
      <c r="C63" s="13" t="s">
        <v>92</v>
      </c>
      <c r="H63" s="15">
        <v>62780</v>
      </c>
    </row>
    <row r="64" spans="2:22">
      <c r="B64" s="21" t="s">
        <v>48</v>
      </c>
      <c r="C64" s="22"/>
    </row>
    <row r="65" spans="2:15">
      <c r="B65" s="26"/>
      <c r="C65" s="11"/>
    </row>
    <row r="66" spans="2:15">
      <c r="B66" s="10" t="s">
        <v>93</v>
      </c>
      <c r="C66" s="11"/>
    </row>
    <row r="67" spans="2:15" s="14" customFormat="1">
      <c r="B67" s="12">
        <v>61400</v>
      </c>
      <c r="C67" s="13" t="s">
        <v>94</v>
      </c>
      <c r="H67" s="15" t="str">
        <f t="shared" ref="H67:H71" si="9">TRIM($B67)&amp;"-"&amp;TEXT(H$2,"00000")</f>
        <v>61400-02001</v>
      </c>
      <c r="O67" s="15" t="str">
        <f t="shared" ref="O67:O71" si="10">TRIM($B67)&amp;"-"&amp;TEXT(O$2,"00000")</f>
        <v>61400-16000</v>
      </c>
    </row>
    <row r="68" spans="2:15" s="14" customFormat="1">
      <c r="B68" s="12">
        <v>61411</v>
      </c>
      <c r="C68" s="13" t="s">
        <v>95</v>
      </c>
      <c r="H68" s="15" t="str">
        <f t="shared" si="9"/>
        <v>61411-02001</v>
      </c>
      <c r="O68" s="15" t="str">
        <f t="shared" si="10"/>
        <v>61411-16000</v>
      </c>
    </row>
    <row r="69" spans="2:15" s="14" customFormat="1">
      <c r="B69" s="37">
        <v>61412</v>
      </c>
      <c r="C69" s="13" t="s">
        <v>96</v>
      </c>
      <c r="H69" s="15" t="str">
        <f t="shared" si="9"/>
        <v>61412-02001</v>
      </c>
      <c r="O69" s="15" t="str">
        <f t="shared" si="10"/>
        <v>61412-16000</v>
      </c>
    </row>
    <row r="70" spans="2:15" s="14" customFormat="1">
      <c r="B70" s="37">
        <v>61413</v>
      </c>
      <c r="C70" s="13" t="s">
        <v>97</v>
      </c>
      <c r="H70" s="15" t="str">
        <f t="shared" si="9"/>
        <v>61413-02001</v>
      </c>
      <c r="O70" s="15" t="str">
        <f t="shared" si="10"/>
        <v>61413-16000</v>
      </c>
    </row>
    <row r="71" spans="2:15" s="14" customFormat="1">
      <c r="B71" s="12">
        <v>61420</v>
      </c>
      <c r="C71" s="13" t="s">
        <v>98</v>
      </c>
      <c r="H71" s="15" t="str">
        <f t="shared" si="9"/>
        <v>61420-02001</v>
      </c>
      <c r="O71" s="15" t="str">
        <f t="shared" si="10"/>
        <v>61420-16000</v>
      </c>
    </row>
    <row r="72" spans="2:15" s="14" customFormat="1">
      <c r="B72" s="12">
        <v>61431</v>
      </c>
      <c r="C72" s="13" t="s">
        <v>99</v>
      </c>
      <c r="H72" s="15"/>
      <c r="O72" s="15">
        <v>61431</v>
      </c>
    </row>
    <row r="73" spans="2:15" s="14" customFormat="1">
      <c r="B73" s="12">
        <v>61432</v>
      </c>
      <c r="C73" s="13" t="s">
        <v>100</v>
      </c>
      <c r="H73" s="15"/>
      <c r="O73" s="15">
        <v>61432</v>
      </c>
    </row>
    <row r="74" spans="2:15" s="14" customFormat="1">
      <c r="B74" s="12">
        <v>61433</v>
      </c>
      <c r="C74" s="13" t="s">
        <v>101</v>
      </c>
      <c r="H74" s="15"/>
      <c r="O74" s="15">
        <v>61433</v>
      </c>
    </row>
    <row r="75" spans="2:15" s="14" customFormat="1">
      <c r="B75" s="12" t="s">
        <v>102</v>
      </c>
      <c r="C75" s="13" t="s">
        <v>103</v>
      </c>
      <c r="H75" s="15"/>
      <c r="O75" s="36" t="s">
        <v>102</v>
      </c>
    </row>
    <row r="76" spans="2:15" s="14" customFormat="1">
      <c r="B76" s="12">
        <v>61434</v>
      </c>
      <c r="C76" s="13" t="s">
        <v>104</v>
      </c>
      <c r="H76" s="15">
        <v>61434</v>
      </c>
      <c r="O76" s="15"/>
    </row>
    <row r="77" spans="2:15" s="14" customFormat="1">
      <c r="B77" s="37">
        <v>61435</v>
      </c>
      <c r="C77" s="13" t="s">
        <v>105</v>
      </c>
      <c r="H77" s="15">
        <v>61435</v>
      </c>
      <c r="O77" s="15"/>
    </row>
    <row r="78" spans="2:15" s="14" customFormat="1" ht="25.5">
      <c r="B78" s="12">
        <v>61436</v>
      </c>
      <c r="C78" s="13" t="s">
        <v>106</v>
      </c>
      <c r="H78" s="15"/>
      <c r="O78" s="15">
        <v>61436</v>
      </c>
    </row>
    <row r="79" spans="2:15" s="14" customFormat="1">
      <c r="B79" s="12">
        <v>61437</v>
      </c>
      <c r="C79" s="13" t="s">
        <v>107</v>
      </c>
      <c r="H79" s="15">
        <v>61437</v>
      </c>
      <c r="O79" s="15"/>
    </row>
    <row r="80" spans="2:15" s="14" customFormat="1">
      <c r="B80" s="12">
        <v>61438</v>
      </c>
      <c r="C80" s="13" t="s">
        <v>108</v>
      </c>
      <c r="H80" s="15">
        <v>61438</v>
      </c>
      <c r="O80" s="15"/>
    </row>
    <row r="81" spans="2:15" s="14" customFormat="1">
      <c r="B81" s="12">
        <v>61439</v>
      </c>
      <c r="C81" s="13" t="s">
        <v>109</v>
      </c>
      <c r="H81" s="15" t="str">
        <f t="shared" ref="H81:H82" si="11">TRIM($B81)&amp;"-"&amp;TEXT(H$2,"00000")</f>
        <v>61439-02001</v>
      </c>
      <c r="O81" s="15" t="str">
        <f t="shared" ref="O81:O82" si="12">TRIM($B81)&amp;"-"&amp;TEXT(O$2,"00000")</f>
        <v>61439-16000</v>
      </c>
    </row>
    <row r="82" spans="2:15" s="14" customFormat="1" ht="25.5">
      <c r="B82" s="12">
        <v>61450</v>
      </c>
      <c r="C82" s="13" t="s">
        <v>110</v>
      </c>
      <c r="H82" s="15" t="str">
        <f t="shared" si="11"/>
        <v>61450-02001</v>
      </c>
      <c r="O82" s="15" t="str">
        <f t="shared" si="12"/>
        <v>61450-16000</v>
      </c>
    </row>
    <row r="83" spans="2:15" s="14" customFormat="1" ht="25.5">
      <c r="B83" s="12">
        <v>61501</v>
      </c>
      <c r="C83" s="13" t="s">
        <v>111</v>
      </c>
      <c r="G83" s="15">
        <v>61501</v>
      </c>
    </row>
    <row r="84" spans="2:15" s="14" customFormat="1" ht="25.5">
      <c r="B84" s="12">
        <v>61502</v>
      </c>
      <c r="C84" s="13" t="s">
        <v>112</v>
      </c>
      <c r="G84" s="15">
        <v>61502</v>
      </c>
    </row>
    <row r="85" spans="2:15" s="14" customFormat="1" ht="25.5">
      <c r="B85" s="12">
        <v>61503</v>
      </c>
      <c r="C85" s="13" t="s">
        <v>113</v>
      </c>
      <c r="G85" s="15">
        <v>61503</v>
      </c>
    </row>
    <row r="86" spans="2:15" s="14" customFormat="1">
      <c r="B86" s="12">
        <v>61504</v>
      </c>
      <c r="C86" s="13" t="s">
        <v>114</v>
      </c>
      <c r="G86" s="15">
        <v>61504</v>
      </c>
    </row>
    <row r="87" spans="2:15" s="14" customFormat="1">
      <c r="B87" s="12">
        <v>61505</v>
      </c>
      <c r="C87" s="13" t="s">
        <v>115</v>
      </c>
      <c r="G87" s="15">
        <v>61505</v>
      </c>
    </row>
    <row r="88" spans="2:15" s="14" customFormat="1">
      <c r="B88" s="12">
        <v>61506</v>
      </c>
      <c r="C88" s="13" t="s">
        <v>116</v>
      </c>
      <c r="G88" s="15">
        <v>61506</v>
      </c>
    </row>
    <row r="89" spans="2:15" s="14" customFormat="1" ht="25.5">
      <c r="B89" s="12">
        <v>61507</v>
      </c>
      <c r="C89" s="13" t="s">
        <v>117</v>
      </c>
      <c r="G89" s="15">
        <v>61507</v>
      </c>
    </row>
    <row r="90" spans="2:15" s="14" customFormat="1" ht="25.5">
      <c r="B90" s="38">
        <v>62101</v>
      </c>
      <c r="C90" s="39" t="s">
        <v>118</v>
      </c>
      <c r="G90" s="15">
        <v>62101</v>
      </c>
    </row>
    <row r="91" spans="2:15" s="14" customFormat="1">
      <c r="B91" s="38">
        <v>62102</v>
      </c>
      <c r="C91" s="39" t="s">
        <v>119</v>
      </c>
      <c r="G91" s="15">
        <v>62102</v>
      </c>
    </row>
    <row r="92" spans="2:15" s="14" customFormat="1">
      <c r="B92" s="38" t="s">
        <v>120</v>
      </c>
      <c r="C92" s="13" t="s">
        <v>119</v>
      </c>
      <c r="G92" s="15" t="s">
        <v>120</v>
      </c>
    </row>
    <row r="93" spans="2:15" s="14" customFormat="1">
      <c r="B93" s="12">
        <v>62103</v>
      </c>
      <c r="C93" s="13" t="s">
        <v>121</v>
      </c>
      <c r="G93" s="15">
        <v>62103</v>
      </c>
    </row>
    <row r="94" spans="2:15" s="14" customFormat="1">
      <c r="B94" s="12"/>
      <c r="C94" s="13"/>
    </row>
    <row r="95" spans="2:15" s="14" customFormat="1" ht="25.5">
      <c r="B95" s="12">
        <v>62104</v>
      </c>
      <c r="C95" s="13" t="s">
        <v>122</v>
      </c>
      <c r="G95" s="15">
        <v>62104</v>
      </c>
    </row>
    <row r="96" spans="2:15" s="14" customFormat="1">
      <c r="B96" s="12">
        <v>62106</v>
      </c>
      <c r="C96" s="13" t="s">
        <v>123</v>
      </c>
      <c r="G96" s="15">
        <v>62106</v>
      </c>
    </row>
    <row r="97" spans="2:19" s="14" customFormat="1" ht="25.5">
      <c r="B97" s="12">
        <v>62201</v>
      </c>
      <c r="C97" s="13" t="s">
        <v>124</v>
      </c>
      <c r="S97" s="15">
        <v>62201</v>
      </c>
    </row>
    <row r="98" spans="2:19" s="14" customFormat="1">
      <c r="B98" s="40" t="s">
        <v>125</v>
      </c>
      <c r="C98" s="41" t="s">
        <v>126</v>
      </c>
      <c r="J98" s="15" t="s">
        <v>125</v>
      </c>
    </row>
    <row r="99" spans="2:19" s="14" customFormat="1">
      <c r="B99" s="12">
        <v>62740</v>
      </c>
      <c r="C99" s="13" t="s">
        <v>127</v>
      </c>
      <c r="H99" s="15">
        <v>62740</v>
      </c>
    </row>
    <row r="100" spans="2:19" s="14" customFormat="1">
      <c r="B100" s="12">
        <v>62741</v>
      </c>
      <c r="C100" s="13" t="s">
        <v>128</v>
      </c>
      <c r="H100" s="15">
        <v>62741</v>
      </c>
    </row>
    <row r="101" spans="2:19" s="14" customFormat="1">
      <c r="B101" s="12">
        <v>62751</v>
      </c>
      <c r="C101" s="13" t="s">
        <v>129</v>
      </c>
      <c r="H101" s="15">
        <v>62751</v>
      </c>
    </row>
    <row r="102" spans="2:19" s="14" customFormat="1">
      <c r="B102" s="12">
        <v>62752</v>
      </c>
      <c r="C102" s="13" t="s">
        <v>130</v>
      </c>
      <c r="H102" s="15">
        <v>62752</v>
      </c>
    </row>
    <row r="103" spans="2:19" s="14" customFormat="1">
      <c r="B103" s="12">
        <v>62753</v>
      </c>
      <c r="C103" s="41" t="s">
        <v>131</v>
      </c>
      <c r="H103" s="15">
        <v>62753</v>
      </c>
    </row>
    <row r="104" spans="2:19" s="14" customFormat="1">
      <c r="B104" s="12">
        <v>62754</v>
      </c>
      <c r="C104" s="41" t="s">
        <v>132</v>
      </c>
      <c r="H104" s="15">
        <v>62754</v>
      </c>
    </row>
    <row r="105" spans="2:19" s="14" customFormat="1">
      <c r="B105" s="12">
        <v>62760</v>
      </c>
      <c r="C105" s="13" t="s">
        <v>133</v>
      </c>
      <c r="H105" s="15">
        <v>62760</v>
      </c>
    </row>
    <row r="106" spans="2:19" s="14" customFormat="1">
      <c r="B106" s="12">
        <v>62761</v>
      </c>
      <c r="C106" s="13" t="s">
        <v>134</v>
      </c>
      <c r="S106" s="15" t="str">
        <f>TRIM($B106)&amp;"-"&amp;TEXT(S$2,"00000")</f>
        <v>62761-06001</v>
      </c>
    </row>
    <row r="107" spans="2:19" s="14" customFormat="1">
      <c r="B107" s="12">
        <v>62777</v>
      </c>
      <c r="C107" s="13" t="s">
        <v>135</v>
      </c>
      <c r="S107" s="15">
        <v>62777</v>
      </c>
    </row>
    <row r="108" spans="2:19" s="14" customFormat="1">
      <c r="B108" s="12">
        <v>61809</v>
      </c>
      <c r="C108" s="13" t="s">
        <v>136</v>
      </c>
      <c r="H108" s="15">
        <v>61809</v>
      </c>
    </row>
    <row r="109" spans="2:19" s="14" customFormat="1">
      <c r="B109" s="12">
        <v>61810</v>
      </c>
      <c r="C109" s="13" t="s">
        <v>137</v>
      </c>
      <c r="R109" s="15">
        <v>61810</v>
      </c>
    </row>
    <row r="110" spans="2:19" s="14" customFormat="1">
      <c r="B110" s="12">
        <v>61811</v>
      </c>
      <c r="C110" s="13" t="s">
        <v>138</v>
      </c>
      <c r="K110" s="15" t="str">
        <f>TRIM($B110)&amp;"-"&amp;TEXT(K$2,"00000")</f>
        <v>61811-03001</v>
      </c>
    </row>
    <row r="111" spans="2:19" s="14" customFormat="1">
      <c r="B111" s="12">
        <v>61812</v>
      </c>
      <c r="C111" s="13" t="s">
        <v>139</v>
      </c>
      <c r="K111" s="15" t="str">
        <f>TRIM($B111)&amp;"-"&amp;TEXT(K$2,"00000")</f>
        <v>61812-03001</v>
      </c>
      <c r="Q111" s="15" t="str">
        <f>TRIM($B111)&amp;"-"&amp;TEXT(Q$2,"00000")</f>
        <v>61812-01007</v>
      </c>
    </row>
    <row r="112" spans="2:19" s="14" customFormat="1">
      <c r="B112" s="12">
        <v>62781</v>
      </c>
      <c r="C112" s="13" t="s">
        <v>140</v>
      </c>
      <c r="F112" s="15" t="str">
        <f>TRIM($B112)&amp;"-"&amp;TEXT(F$2,"00000")</f>
        <v>62781-05001</v>
      </c>
    </row>
    <row r="113" spans="2:22" s="14" customFormat="1">
      <c r="B113" s="12">
        <v>62782</v>
      </c>
      <c r="C113" s="13" t="s">
        <v>141</v>
      </c>
      <c r="F113" s="15" t="str">
        <f>TRIM($B113)&amp;"-"&amp;TEXT(F$2,"00000")</f>
        <v>62782-05001</v>
      </c>
    </row>
    <row r="114" spans="2:22" s="14" customFormat="1">
      <c r="B114" s="12" t="s">
        <v>142</v>
      </c>
      <c r="C114" s="13" t="s">
        <v>143</v>
      </c>
      <c r="F114" s="15" t="str">
        <f>TRIM($B114)&amp;"-"&amp;TEXT(F$2,"00000")</f>
        <v>62783-05001</v>
      </c>
    </row>
    <row r="115" spans="2:22" s="14" customFormat="1">
      <c r="B115" s="12">
        <v>62784</v>
      </c>
      <c r="C115" s="13" t="s">
        <v>144</v>
      </c>
      <c r="F115" s="15" t="str">
        <f>TRIM($B115)&amp;"-"&amp;TEXT(F$2,"00000")</f>
        <v>62784-05001</v>
      </c>
      <c r="R115" s="15" t="str">
        <f>TRIM($B115)&amp;"-"&amp;TEXT(R$2,"00000")</f>
        <v>62784-04001</v>
      </c>
    </row>
    <row r="116" spans="2:22" s="14" customFormat="1">
      <c r="B116" s="12">
        <v>62785</v>
      </c>
      <c r="C116" s="13" t="s">
        <v>145</v>
      </c>
      <c r="D116" s="15" t="str">
        <f>TRIM($B116)&amp;"-"&amp;TEXT(D$2,"00000")</f>
        <v>62785-01001</v>
      </c>
      <c r="E116" s="15" t="str">
        <f>TRIM($B116)&amp;"-"&amp;TEXT(E$2,"00000")</f>
        <v>62785-15000</v>
      </c>
      <c r="F116" s="15" t="str">
        <f>TRIM($B116)&amp;"-"&amp;TEXT(F$2,"00000")</f>
        <v>62785-05001</v>
      </c>
      <c r="G116" s="15" t="str">
        <f>TRIM($B116)&amp;"-"&amp;TEXT(G$2,"00000")</f>
        <v>62785-07000</v>
      </c>
      <c r="H116" s="15" t="str">
        <f t="shared" ref="H116:U116" si="13">TRIM($B116)&amp;"-"&amp;TEXT(H$2,"00000")</f>
        <v>62785-02001</v>
      </c>
      <c r="I116" s="15" t="str">
        <f t="shared" si="13"/>
        <v>62785-01002</v>
      </c>
      <c r="J116" s="15" t="str">
        <f t="shared" si="13"/>
        <v>62785-01003</v>
      </c>
      <c r="K116" s="15" t="str">
        <f t="shared" si="13"/>
        <v>62785-03001</v>
      </c>
      <c r="L116" s="15" t="str">
        <f t="shared" si="13"/>
        <v>62785-18000</v>
      </c>
      <c r="M116" s="15" t="str">
        <f t="shared" si="13"/>
        <v>62785-01004</v>
      </c>
      <c r="N116" s="15" t="str">
        <f t="shared" si="13"/>
        <v>62785-01005</v>
      </c>
      <c r="O116" s="15" t="str">
        <f t="shared" si="13"/>
        <v>62785-16000</v>
      </c>
      <c r="P116" s="15" t="str">
        <f t="shared" si="13"/>
        <v>62785-17000</v>
      </c>
      <c r="Q116" s="15"/>
      <c r="R116" s="15" t="str">
        <f t="shared" si="13"/>
        <v>62785-04001</v>
      </c>
      <c r="S116" s="15" t="str">
        <f t="shared" si="13"/>
        <v>62785-06001</v>
      </c>
      <c r="T116" s="15"/>
      <c r="U116" s="15" t="str">
        <f t="shared" si="13"/>
        <v>62785-08001</v>
      </c>
      <c r="V116" s="15"/>
    </row>
    <row r="117" spans="2:22" s="14" customFormat="1">
      <c r="B117" s="12" t="s">
        <v>146</v>
      </c>
      <c r="C117" s="42" t="s">
        <v>147</v>
      </c>
      <c r="D117" s="15" t="str">
        <f>TRIM($B117)&amp;"-"&amp;TEXT(D$2,"00000")</f>
        <v>61440-01001</v>
      </c>
      <c r="E117" s="15" t="str">
        <f t="shared" ref="E117:U117" si="14">TRIM($B117)&amp;"-"&amp;TEXT(E$2,"00000")</f>
        <v>61440-15000</v>
      </c>
      <c r="F117" s="15" t="str">
        <f t="shared" si="14"/>
        <v>61440-05001</v>
      </c>
      <c r="G117" s="15" t="str">
        <f t="shared" si="14"/>
        <v>61440-07000</v>
      </c>
      <c r="H117" s="15" t="str">
        <f t="shared" si="14"/>
        <v>61440-02001</v>
      </c>
      <c r="I117" s="15" t="str">
        <f t="shared" si="14"/>
        <v>61440-01002</v>
      </c>
      <c r="J117" s="15" t="str">
        <f t="shared" si="14"/>
        <v>61440-01003</v>
      </c>
      <c r="K117" s="15" t="str">
        <f t="shared" si="14"/>
        <v>61440-03001</v>
      </c>
      <c r="L117" s="15" t="str">
        <f t="shared" si="14"/>
        <v>61440-18000</v>
      </c>
      <c r="M117" s="15" t="str">
        <f t="shared" si="14"/>
        <v>61440-01004</v>
      </c>
      <c r="N117" s="15" t="str">
        <f t="shared" si="14"/>
        <v>61440-01005</v>
      </c>
      <c r="O117" s="15" t="str">
        <f t="shared" si="14"/>
        <v>61440-16000</v>
      </c>
      <c r="P117" s="15" t="str">
        <f t="shared" si="14"/>
        <v>61440-17000</v>
      </c>
      <c r="Q117" s="15" t="str">
        <f t="shared" si="14"/>
        <v>61440-01007</v>
      </c>
      <c r="R117" s="15" t="str">
        <f t="shared" si="14"/>
        <v>61440-04001</v>
      </c>
      <c r="S117" s="15" t="str">
        <f t="shared" si="14"/>
        <v>61440-06001</v>
      </c>
      <c r="T117" s="15" t="str">
        <f t="shared" si="14"/>
        <v>61440-01006</v>
      </c>
      <c r="U117" s="15" t="str">
        <f t="shared" si="14"/>
        <v>61440-08001</v>
      </c>
      <c r="V117" s="15" t="str">
        <f>TRIM($B117)&amp;"-"&amp;TEXT(V$2,"00000")</f>
        <v>61440-01008</v>
      </c>
    </row>
    <row r="118" spans="2:22" s="14" customFormat="1">
      <c r="B118" s="12">
        <v>61610</v>
      </c>
      <c r="C118" s="13" t="s">
        <v>148</v>
      </c>
      <c r="L118" s="15">
        <v>61610</v>
      </c>
    </row>
    <row r="119" spans="2:22">
      <c r="B119" s="21" t="s">
        <v>48</v>
      </c>
      <c r="C119" s="22"/>
    </row>
    <row r="120" spans="2:22">
      <c r="B120" s="26"/>
      <c r="C120" s="11"/>
    </row>
    <row r="121" spans="2:22">
      <c r="B121" s="10" t="s">
        <v>149</v>
      </c>
      <c r="C121" s="11"/>
    </row>
    <row r="122" spans="2:22" s="14" customFormat="1">
      <c r="B122" s="12">
        <v>62502</v>
      </c>
      <c r="C122" s="13" t="s">
        <v>150</v>
      </c>
      <c r="J122" s="15">
        <v>62502</v>
      </c>
    </row>
    <row r="123" spans="2:22" s="14" customFormat="1" ht="14.25" customHeight="1">
      <c r="B123" s="43">
        <v>62703</v>
      </c>
      <c r="C123" s="39" t="s">
        <v>151</v>
      </c>
      <c r="G123" s="15">
        <v>62703</v>
      </c>
    </row>
    <row r="124" spans="2:22" s="14" customFormat="1">
      <c r="B124" s="12">
        <v>62776</v>
      </c>
      <c r="C124" s="13" t="s">
        <v>152</v>
      </c>
      <c r="G124" s="15">
        <v>62776</v>
      </c>
    </row>
    <row r="125" spans="2:22">
      <c r="B125" s="21" t="s">
        <v>48</v>
      </c>
      <c r="C125" s="22"/>
    </row>
    <row r="126" spans="2:22">
      <c r="B126" s="10"/>
      <c r="C126" s="11"/>
    </row>
    <row r="127" spans="2:22">
      <c r="B127" s="10" t="s">
        <v>153</v>
      </c>
      <c r="C127" s="11"/>
    </row>
    <row r="128" spans="2:22">
      <c r="B128" s="10"/>
      <c r="C128" s="11"/>
    </row>
    <row r="129" spans="2:22">
      <c r="B129" s="10" t="s">
        <v>154</v>
      </c>
      <c r="C129" s="11"/>
    </row>
    <row r="130" spans="2:22" s="14" customFormat="1">
      <c r="B130" s="12">
        <v>61101</v>
      </c>
      <c r="C130" s="13" t="s">
        <v>155</v>
      </c>
      <c r="H130" s="15" t="str">
        <f>TRIM($B130)&amp;"-"&amp;TEXT(H$2,"00000")</f>
        <v>61101-02001</v>
      </c>
      <c r="O130" s="15" t="str">
        <f t="shared" ref="O130" si="15">TRIM($B130)&amp;"-"&amp;TEXT(O$2,"00000")</f>
        <v>61101-16000</v>
      </c>
    </row>
    <row r="131" spans="2:22" s="14" customFormat="1">
      <c r="B131" s="12">
        <v>61802</v>
      </c>
      <c r="C131" s="13" t="s">
        <v>156</v>
      </c>
      <c r="J131" s="15">
        <v>61802</v>
      </c>
    </row>
    <row r="132" spans="2:22" s="14" customFormat="1">
      <c r="B132" s="12">
        <v>61804</v>
      </c>
      <c r="C132" s="13" t="s">
        <v>157</v>
      </c>
      <c r="L132" s="15">
        <v>61804</v>
      </c>
    </row>
    <row r="133" spans="2:22" s="14" customFormat="1">
      <c r="B133" s="38">
        <v>62701</v>
      </c>
      <c r="C133" s="39" t="s">
        <v>158</v>
      </c>
      <c r="D133" s="15" t="str">
        <f>TRIM($B133)&amp;"-"&amp;TEXT(D$2,"00000")</f>
        <v>62701-01001</v>
      </c>
      <c r="E133" s="15" t="str">
        <f>TRIM($B133)&amp;"-"&amp;TEXT(E$2,"00000")</f>
        <v>62701-15000</v>
      </c>
      <c r="F133" s="15" t="str">
        <f>TRIM($B133)&amp;"-"&amp;TEXT(F$2,"00000")</f>
        <v>62701-05001</v>
      </c>
      <c r="U133" s="15" t="s">
        <v>159</v>
      </c>
    </row>
    <row r="134" spans="2:22" s="14" customFormat="1">
      <c r="B134" s="12">
        <v>62702</v>
      </c>
      <c r="C134" s="13" t="s">
        <v>160</v>
      </c>
      <c r="F134" s="15">
        <v>62702</v>
      </c>
    </row>
    <row r="135" spans="2:22" s="14" customFormat="1">
      <c r="B135" s="12">
        <v>62711</v>
      </c>
      <c r="C135" s="13" t="s">
        <v>161</v>
      </c>
      <c r="D135" s="15" t="str">
        <f t="shared" ref="D135:S137" si="16">TRIM($B135)&amp;"-"&amp;TEXT(D$2,"00000")</f>
        <v>62711-01001</v>
      </c>
      <c r="E135" s="15" t="str">
        <f t="shared" si="16"/>
        <v>62711-15000</v>
      </c>
    </row>
    <row r="136" spans="2:22" s="14" customFormat="1">
      <c r="B136" s="38">
        <v>62712</v>
      </c>
      <c r="C136" s="39" t="s">
        <v>162</v>
      </c>
      <c r="D136" s="15" t="str">
        <f t="shared" si="16"/>
        <v>62712-01001</v>
      </c>
      <c r="E136" s="15" t="str">
        <f t="shared" si="16"/>
        <v>62712-15000</v>
      </c>
    </row>
    <row r="137" spans="2:22" s="14" customFormat="1">
      <c r="B137" s="12" t="s">
        <v>163</v>
      </c>
      <c r="C137" s="13" t="s">
        <v>164</v>
      </c>
      <c r="D137" s="15" t="str">
        <f>TRIM($B137)&amp;"-"&amp;TEXT(D$2,"00000")</f>
        <v>62774-01001</v>
      </c>
      <c r="E137" s="15" t="str">
        <f t="shared" si="16"/>
        <v>62774-15000</v>
      </c>
      <c r="F137" s="15" t="str">
        <f t="shared" si="16"/>
        <v>62774-05001</v>
      </c>
      <c r="G137" s="15" t="str">
        <f t="shared" si="16"/>
        <v>62774-07000</v>
      </c>
      <c r="H137" s="15" t="str">
        <f t="shared" si="16"/>
        <v>62774-02001</v>
      </c>
      <c r="I137" s="15" t="str">
        <f t="shared" si="16"/>
        <v>62774-01002</v>
      </c>
      <c r="J137" s="15" t="str">
        <f t="shared" si="16"/>
        <v>62774-01003</v>
      </c>
      <c r="K137" s="15" t="str">
        <f t="shared" si="16"/>
        <v>62774-03001</v>
      </c>
      <c r="L137" s="15" t="str">
        <f t="shared" si="16"/>
        <v>62774-18000</v>
      </c>
      <c r="M137" s="15" t="str">
        <f t="shared" si="16"/>
        <v>62774-01004</v>
      </c>
      <c r="N137" s="15" t="str">
        <f t="shared" si="16"/>
        <v>62774-01005</v>
      </c>
      <c r="O137" s="15" t="str">
        <f t="shared" si="16"/>
        <v>62774-16000</v>
      </c>
      <c r="P137" s="15" t="str">
        <f t="shared" si="16"/>
        <v>62774-17000</v>
      </c>
      <c r="Q137" s="15" t="str">
        <f t="shared" si="16"/>
        <v>62774-01007</v>
      </c>
      <c r="R137" s="15" t="str">
        <f t="shared" si="16"/>
        <v>62774-04001</v>
      </c>
      <c r="S137" s="15" t="str">
        <f t="shared" si="16"/>
        <v>62774-06001</v>
      </c>
      <c r="T137" s="15" t="str">
        <f t="shared" ref="T137:AK137" si="17">TRIM($B137)&amp;"-"&amp;TEXT(T$2,"00000")</f>
        <v>62774-01006</v>
      </c>
      <c r="U137" s="15" t="str">
        <f t="shared" si="17"/>
        <v>62774-08001</v>
      </c>
      <c r="V137" s="15" t="str">
        <f t="shared" si="17"/>
        <v>62774-01008</v>
      </c>
    </row>
    <row r="138" spans="2:22">
      <c r="B138" s="21" t="s">
        <v>48</v>
      </c>
      <c r="C138" s="22"/>
    </row>
    <row r="139" spans="2:22">
      <c r="B139" s="26"/>
      <c r="C139" s="11"/>
    </row>
    <row r="140" spans="2:22">
      <c r="B140" s="10" t="s">
        <v>165</v>
      </c>
      <c r="C140" s="11"/>
    </row>
    <row r="141" spans="2:22" s="14" customFormat="1">
      <c r="B141" s="33">
        <v>61608</v>
      </c>
      <c r="C141" s="34" t="s">
        <v>166</v>
      </c>
      <c r="L141" s="15">
        <v>61608</v>
      </c>
    </row>
    <row r="142" spans="2:22" s="14" customFormat="1" ht="25.5">
      <c r="B142" s="12">
        <v>61609</v>
      </c>
      <c r="C142" s="13" t="s">
        <v>167</v>
      </c>
      <c r="G142" s="15">
        <v>61609</v>
      </c>
    </row>
    <row r="143" spans="2:22" s="14" customFormat="1" ht="25.5">
      <c r="B143" s="12">
        <v>62107</v>
      </c>
      <c r="C143" s="13" t="s">
        <v>168</v>
      </c>
      <c r="G143" s="15">
        <v>62107</v>
      </c>
    </row>
    <row r="144" spans="2:22" s="14" customFormat="1">
      <c r="B144" s="12">
        <v>62108</v>
      </c>
      <c r="C144" s="13" t="s">
        <v>169</v>
      </c>
      <c r="G144" s="15">
        <v>62108</v>
      </c>
    </row>
    <row r="145" spans="2:22" s="14" customFormat="1">
      <c r="B145" s="12">
        <v>62771</v>
      </c>
      <c r="C145" s="13" t="s">
        <v>170</v>
      </c>
      <c r="K145" s="15" t="str">
        <f>TRIM($B145)&amp;"-"&amp;TEXT(K$2,"00000")</f>
        <v>62771-03001</v>
      </c>
      <c r="L145" s="15" t="str">
        <f>TRIM($B145)&amp;"-"&amp;TEXT(L$2,"00000")</f>
        <v>62771-18000</v>
      </c>
      <c r="R145" s="15" t="str">
        <f>TRIM($B145)&amp;"-"&amp;TEXT(R$2,"00000")</f>
        <v>62771-04001</v>
      </c>
    </row>
    <row r="146" spans="2:22" s="14" customFormat="1">
      <c r="B146" s="12">
        <v>62775</v>
      </c>
      <c r="C146" s="13" t="s">
        <v>171</v>
      </c>
      <c r="L146" s="15">
        <v>62771</v>
      </c>
    </row>
    <row r="147" spans="2:22">
      <c r="B147" s="21" t="s">
        <v>48</v>
      </c>
      <c r="C147" s="22"/>
    </row>
    <row r="148" spans="2:22">
      <c r="B148" s="26"/>
      <c r="C148" s="11"/>
    </row>
    <row r="149" spans="2:22">
      <c r="B149" s="10" t="s">
        <v>172</v>
      </c>
      <c r="C149" s="31"/>
    </row>
    <row r="150" spans="2:22">
      <c r="B150" s="20">
        <v>61605</v>
      </c>
      <c r="C150" s="11" t="s">
        <v>173</v>
      </c>
      <c r="D150" s="19" t="str">
        <f t="shared" ref="D150:V150" si="18">TRIM($B150)&amp;"-"&amp;TEXT(D$2,"00000")</f>
        <v>61605-01001</v>
      </c>
      <c r="E150" s="19" t="str">
        <f t="shared" si="18"/>
        <v>61605-15000</v>
      </c>
      <c r="F150" s="19" t="str">
        <f t="shared" si="18"/>
        <v>61605-05001</v>
      </c>
      <c r="G150" s="19" t="str">
        <f t="shared" si="18"/>
        <v>61605-07000</v>
      </c>
      <c r="H150" s="19" t="str">
        <f t="shared" si="18"/>
        <v>61605-02001</v>
      </c>
      <c r="I150" s="19" t="str">
        <f t="shared" si="18"/>
        <v>61605-01002</v>
      </c>
      <c r="J150" s="19" t="str">
        <f t="shared" si="18"/>
        <v>61605-01003</v>
      </c>
      <c r="K150" s="19" t="str">
        <f t="shared" si="18"/>
        <v>61605-03001</v>
      </c>
      <c r="L150" s="19" t="str">
        <f t="shared" si="18"/>
        <v>61605-18000</v>
      </c>
      <c r="M150" s="19" t="str">
        <f t="shared" si="18"/>
        <v>61605-01004</v>
      </c>
      <c r="N150" s="19" t="str">
        <f t="shared" si="18"/>
        <v>61605-01005</v>
      </c>
      <c r="O150" s="19" t="str">
        <f t="shared" si="18"/>
        <v>61605-16000</v>
      </c>
      <c r="P150" s="19" t="str">
        <f t="shared" si="18"/>
        <v>61605-17000</v>
      </c>
      <c r="Q150" s="19" t="str">
        <f t="shared" si="18"/>
        <v>61605-01007</v>
      </c>
      <c r="R150" s="19" t="str">
        <f t="shared" si="18"/>
        <v>61605-04001</v>
      </c>
      <c r="S150" s="19" t="str">
        <f t="shared" si="18"/>
        <v>61605-06001</v>
      </c>
      <c r="T150" s="19" t="str">
        <f t="shared" si="18"/>
        <v>61605-01006</v>
      </c>
      <c r="U150" s="19" t="str">
        <f t="shared" si="18"/>
        <v>61605-08001</v>
      </c>
      <c r="V150" s="19" t="str">
        <f t="shared" si="18"/>
        <v>61605-01008</v>
      </c>
    </row>
    <row r="151" spans="2:22" ht="25.5">
      <c r="B151" s="20">
        <v>61606</v>
      </c>
      <c r="C151" s="11" t="s">
        <v>174</v>
      </c>
      <c r="H151" s="19" t="str">
        <f>TRIM($B151)&amp;"-"&amp;TEXT(H$2,"00000")</f>
        <v>61606-02001</v>
      </c>
      <c r="L151" s="19" t="str">
        <f>TRIM($B151)&amp;"-"&amp;TEXT(L$2,"00000")</f>
        <v>61606-18000</v>
      </c>
    </row>
    <row r="152" spans="2:22">
      <c r="B152" s="21" t="s">
        <v>48</v>
      </c>
      <c r="C152" s="22"/>
    </row>
    <row r="153" spans="2:22">
      <c r="B153" s="26"/>
      <c r="C153" s="11"/>
    </row>
    <row r="154" spans="2:22">
      <c r="B154" s="10" t="s">
        <v>175</v>
      </c>
      <c r="C154" s="11"/>
    </row>
    <row r="155" spans="2:22" s="14" customFormat="1">
      <c r="B155" s="12">
        <v>61602</v>
      </c>
      <c r="C155" s="13" t="s">
        <v>176</v>
      </c>
      <c r="L155" s="15">
        <v>61602</v>
      </c>
    </row>
    <row r="156" spans="2:22">
      <c r="B156" s="21" t="s">
        <v>48</v>
      </c>
      <c r="C156" s="22"/>
    </row>
    <row r="157" spans="2:22">
      <c r="B157" s="26"/>
      <c r="C157" s="11"/>
    </row>
    <row r="158" spans="2:22">
      <c r="B158" s="10" t="s">
        <v>177</v>
      </c>
      <c r="C158" s="11"/>
    </row>
    <row r="159" spans="2:22">
      <c r="B159" s="44">
        <v>62407</v>
      </c>
      <c r="C159" s="11" t="s">
        <v>178</v>
      </c>
      <c r="M159" s="19">
        <v>62407</v>
      </c>
    </row>
    <row r="160" spans="2:22">
      <c r="B160" s="20">
        <v>61301</v>
      </c>
      <c r="C160" s="11" t="s">
        <v>179</v>
      </c>
      <c r="M160" s="19">
        <v>61301</v>
      </c>
    </row>
    <row r="161" spans="2:22">
      <c r="B161" s="20">
        <v>61302</v>
      </c>
      <c r="C161" s="11" t="s">
        <v>180</v>
      </c>
      <c r="M161" s="19">
        <v>61302</v>
      </c>
    </row>
    <row r="162" spans="2:22" ht="25.5">
      <c r="B162" s="45">
        <v>61303</v>
      </c>
      <c r="C162" s="46" t="s">
        <v>181</v>
      </c>
      <c r="M162" s="19">
        <v>61303</v>
      </c>
    </row>
    <row r="163" spans="2:22">
      <c r="B163" s="20">
        <v>61304</v>
      </c>
      <c r="C163" s="11" t="s">
        <v>182</v>
      </c>
      <c r="M163" s="19">
        <v>61304</v>
      </c>
    </row>
    <row r="164" spans="2:22">
      <c r="B164" s="20">
        <v>61505</v>
      </c>
      <c r="C164" s="11" t="s">
        <v>114</v>
      </c>
      <c r="M164" s="19">
        <v>61505</v>
      </c>
    </row>
    <row r="165" spans="2:22" s="14" customFormat="1">
      <c r="B165" s="12">
        <v>62105</v>
      </c>
      <c r="C165" s="13" t="s">
        <v>183</v>
      </c>
      <c r="M165" s="15">
        <v>62105</v>
      </c>
    </row>
    <row r="166" spans="2:22">
      <c r="B166" s="20">
        <v>62401</v>
      </c>
      <c r="C166" s="11" t="s">
        <v>184</v>
      </c>
      <c r="M166" s="19">
        <v>62401</v>
      </c>
    </row>
    <row r="167" spans="2:22">
      <c r="B167" s="20">
        <v>62402</v>
      </c>
      <c r="C167" s="11" t="s">
        <v>185</v>
      </c>
      <c r="M167" s="19">
        <v>62402</v>
      </c>
    </row>
    <row r="168" spans="2:22">
      <c r="B168" s="20" t="s">
        <v>186</v>
      </c>
      <c r="C168" s="11" t="s">
        <v>187</v>
      </c>
      <c r="M168" s="47" t="s">
        <v>186</v>
      </c>
    </row>
    <row r="169" spans="2:22">
      <c r="B169" s="20">
        <v>62404</v>
      </c>
      <c r="C169" s="11" t="s">
        <v>188</v>
      </c>
      <c r="M169" s="19">
        <v>62404</v>
      </c>
    </row>
    <row r="170" spans="2:22" ht="25.5">
      <c r="B170" s="20">
        <v>62405</v>
      </c>
      <c r="C170" s="11" t="s">
        <v>189</v>
      </c>
      <c r="M170" s="19">
        <v>62405</v>
      </c>
    </row>
    <row r="171" spans="2:22">
      <c r="B171" s="20">
        <v>62406</v>
      </c>
      <c r="C171" s="11" t="s">
        <v>190</v>
      </c>
      <c r="M171" s="19">
        <v>62406</v>
      </c>
    </row>
    <row r="172" spans="2:22">
      <c r="B172" s="20">
        <v>62605</v>
      </c>
      <c r="C172" s="11" t="s">
        <v>191</v>
      </c>
      <c r="G172" s="19">
        <v>62605</v>
      </c>
    </row>
    <row r="173" spans="2:22">
      <c r="B173" s="21" t="s">
        <v>48</v>
      </c>
      <c r="C173" s="22"/>
    </row>
    <row r="174" spans="2:22">
      <c r="B174" s="26"/>
      <c r="C174" s="11"/>
    </row>
    <row r="175" spans="2:22">
      <c r="B175" s="10" t="s">
        <v>192</v>
      </c>
      <c r="C175" s="48"/>
    </row>
    <row r="176" spans="2:22" s="14" customFormat="1">
      <c r="B176" s="12">
        <v>62203</v>
      </c>
      <c r="C176" s="13" t="s">
        <v>193</v>
      </c>
      <c r="D176" s="15" t="str">
        <f t="shared" ref="D176:S177" si="19">TRIM($B176)&amp;"-"&amp;TEXT(D$2,"00000")</f>
        <v>62203-01001</v>
      </c>
      <c r="E176" s="15" t="str">
        <f t="shared" si="19"/>
        <v>62203-15000</v>
      </c>
      <c r="F176" s="15" t="str">
        <f t="shared" si="19"/>
        <v>62203-05001</v>
      </c>
      <c r="G176" s="15" t="str">
        <f t="shared" si="19"/>
        <v>62203-07000</v>
      </c>
      <c r="H176" s="15" t="str">
        <f t="shared" si="19"/>
        <v>62203-02001</v>
      </c>
      <c r="I176" s="15" t="str">
        <f t="shared" si="19"/>
        <v>62203-01002</v>
      </c>
      <c r="J176" s="15" t="str">
        <f t="shared" si="19"/>
        <v>62203-01003</v>
      </c>
      <c r="K176" s="15" t="str">
        <f t="shared" si="19"/>
        <v>62203-03001</v>
      </c>
      <c r="L176" s="15" t="str">
        <f t="shared" si="19"/>
        <v>62203-18000</v>
      </c>
      <c r="M176" s="15" t="str">
        <f t="shared" si="19"/>
        <v>62203-01004</v>
      </c>
      <c r="N176" s="15" t="str">
        <f t="shared" si="19"/>
        <v>62203-01005</v>
      </c>
      <c r="O176" s="15" t="str">
        <f t="shared" si="19"/>
        <v>62203-16000</v>
      </c>
      <c r="P176" s="15" t="str">
        <f t="shared" si="19"/>
        <v>62203-17000</v>
      </c>
      <c r="Q176" s="15" t="str">
        <f t="shared" si="19"/>
        <v>62203-01007</v>
      </c>
      <c r="R176" s="15" t="str">
        <f t="shared" si="19"/>
        <v>62203-04001</v>
      </c>
      <c r="S176" s="15" t="str">
        <f t="shared" si="19"/>
        <v>62203-06001</v>
      </c>
      <c r="T176" s="15" t="str">
        <f t="shared" ref="N176:AB177" si="20">TRIM($B176)&amp;"-"&amp;TEXT(T$2,"00000")</f>
        <v>62203-01006</v>
      </c>
      <c r="U176" s="15" t="str">
        <f t="shared" si="20"/>
        <v>62203-08001</v>
      </c>
      <c r="V176" s="15" t="str">
        <f t="shared" si="20"/>
        <v>62203-01008</v>
      </c>
    </row>
    <row r="177" spans="2:22" s="14" customFormat="1">
      <c r="B177" s="38">
        <v>62772</v>
      </c>
      <c r="C177" s="39" t="s">
        <v>194</v>
      </c>
      <c r="D177" s="15" t="str">
        <f t="shared" si="19"/>
        <v>62772-01001</v>
      </c>
      <c r="E177" s="15" t="str">
        <f t="shared" si="19"/>
        <v>62772-15000</v>
      </c>
      <c r="F177" s="15" t="str">
        <f t="shared" si="19"/>
        <v>62772-05001</v>
      </c>
      <c r="G177" s="15" t="str">
        <f t="shared" si="19"/>
        <v>62772-07000</v>
      </c>
      <c r="H177" s="15" t="str">
        <f t="shared" si="19"/>
        <v>62772-02001</v>
      </c>
      <c r="I177" s="15" t="str">
        <f t="shared" si="19"/>
        <v>62772-01002</v>
      </c>
      <c r="J177" s="15" t="str">
        <f t="shared" si="19"/>
        <v>62772-01003</v>
      </c>
      <c r="K177" s="15" t="str">
        <f t="shared" si="19"/>
        <v>62772-03001</v>
      </c>
      <c r="L177" s="15" t="str">
        <f t="shared" si="19"/>
        <v>62772-18000</v>
      </c>
      <c r="M177" s="15" t="str">
        <f t="shared" si="19"/>
        <v>62772-01004</v>
      </c>
      <c r="N177" s="15" t="str">
        <f t="shared" si="20"/>
        <v>62772-01005</v>
      </c>
      <c r="O177" s="15" t="str">
        <f t="shared" si="20"/>
        <v>62772-16000</v>
      </c>
      <c r="P177" s="15" t="str">
        <f t="shared" si="20"/>
        <v>62772-17000</v>
      </c>
      <c r="Q177" s="15" t="str">
        <f t="shared" si="20"/>
        <v>62772-01007</v>
      </c>
      <c r="R177" s="15" t="str">
        <f t="shared" si="20"/>
        <v>62772-04001</v>
      </c>
      <c r="S177" s="15" t="str">
        <f t="shared" si="20"/>
        <v>62772-06001</v>
      </c>
      <c r="T177" s="15" t="str">
        <f t="shared" si="20"/>
        <v>62772-01006</v>
      </c>
      <c r="U177" s="15" t="str">
        <f t="shared" si="20"/>
        <v>62772-08001</v>
      </c>
      <c r="V177" s="15" t="str">
        <f t="shared" si="20"/>
        <v>62772-01008</v>
      </c>
    </row>
    <row r="178" spans="2:22">
      <c r="B178" s="21" t="s">
        <v>48</v>
      </c>
      <c r="C178" s="22"/>
    </row>
    <row r="179" spans="2:22">
      <c r="B179" s="26"/>
      <c r="C179" s="11"/>
    </row>
    <row r="180" spans="2:22">
      <c r="B180" s="10" t="s">
        <v>195</v>
      </c>
      <c r="C180" s="49"/>
    </row>
    <row r="181" spans="2:22" s="14" customFormat="1">
      <c r="B181" s="12">
        <v>61601</v>
      </c>
      <c r="C181" s="13" t="s">
        <v>196</v>
      </c>
      <c r="U181" s="12">
        <v>61601</v>
      </c>
    </row>
    <row r="182" spans="2:22" s="14" customFormat="1">
      <c r="B182" s="37">
        <v>61801</v>
      </c>
      <c r="C182" s="13" t="s">
        <v>197</v>
      </c>
      <c r="D182" s="15" t="str">
        <f t="shared" ref="D182:T183" si="21">TRIM($B182)&amp;"-"&amp;TEXT(D$2,"00000")</f>
        <v>61801-01001</v>
      </c>
      <c r="E182" s="15" t="str">
        <f t="shared" si="21"/>
        <v>61801-15000</v>
      </c>
      <c r="F182" s="15" t="str">
        <f t="shared" si="21"/>
        <v>61801-05001</v>
      </c>
      <c r="G182" s="15" t="str">
        <f t="shared" si="21"/>
        <v>61801-07000</v>
      </c>
      <c r="H182" s="15" t="str">
        <f t="shared" si="21"/>
        <v>61801-02001</v>
      </c>
      <c r="I182" s="15" t="str">
        <f t="shared" si="21"/>
        <v>61801-01002</v>
      </c>
      <c r="J182" s="15" t="str">
        <f t="shared" si="21"/>
        <v>61801-01003</v>
      </c>
      <c r="K182" s="15" t="str">
        <f t="shared" si="21"/>
        <v>61801-03001</v>
      </c>
      <c r="L182" s="15" t="str">
        <f t="shared" si="21"/>
        <v>61801-18000</v>
      </c>
      <c r="M182" s="15" t="str">
        <f t="shared" si="21"/>
        <v>61801-01004</v>
      </c>
      <c r="N182" s="15" t="str">
        <f t="shared" si="21"/>
        <v>61801-01005</v>
      </c>
      <c r="O182" s="15" t="str">
        <f t="shared" si="21"/>
        <v>61801-16000</v>
      </c>
      <c r="P182" s="15" t="str">
        <f t="shared" si="21"/>
        <v>61801-17000</v>
      </c>
      <c r="Q182" s="15" t="str">
        <f t="shared" si="21"/>
        <v>61801-01007</v>
      </c>
      <c r="R182" s="15" t="str">
        <f t="shared" si="21"/>
        <v>61801-04001</v>
      </c>
      <c r="S182" s="15" t="str">
        <f t="shared" si="21"/>
        <v>61801-06001</v>
      </c>
      <c r="T182" s="15" t="str">
        <f t="shared" si="21"/>
        <v>61801-01006</v>
      </c>
      <c r="U182" s="15" t="str">
        <f>TRIM($B182)&amp;"-"&amp;TEXT(U$2,"00000")</f>
        <v>61801-08001</v>
      </c>
      <c r="V182" s="15" t="str">
        <f>TRIM($B182)&amp;"-"&amp;TEXT(V$2,"00000")</f>
        <v>61801-01008</v>
      </c>
    </row>
    <row r="183" spans="2:22" s="14" customFormat="1">
      <c r="B183" s="12">
        <v>62728</v>
      </c>
      <c r="C183" s="13" t="s">
        <v>198</v>
      </c>
      <c r="D183" s="15" t="str">
        <f t="shared" si="21"/>
        <v>62728-01001</v>
      </c>
      <c r="E183" s="15" t="str">
        <f t="shared" si="21"/>
        <v>62728-15000</v>
      </c>
      <c r="T183" s="15" t="str">
        <f>TRIM($B183)&amp;"-"&amp;TEXT(T$2,"00000")</f>
        <v>62728-01006</v>
      </c>
    </row>
    <row r="184" spans="2:22" s="14" customFormat="1">
      <c r="B184" s="12"/>
      <c r="C184" s="13" t="s">
        <v>199</v>
      </c>
      <c r="D184" s="50"/>
    </row>
    <row r="185" spans="2:22" s="14" customFormat="1">
      <c r="B185" s="12"/>
      <c r="C185" s="13" t="s">
        <v>200</v>
      </c>
      <c r="D185" s="50"/>
    </row>
    <row r="186" spans="2:22" s="14" customFormat="1">
      <c r="B186" s="12"/>
      <c r="C186" s="13" t="s">
        <v>201</v>
      </c>
      <c r="D186" s="50"/>
    </row>
    <row r="187" spans="2:22">
      <c r="B187" s="20"/>
      <c r="C187" s="11"/>
      <c r="D187" s="51"/>
    </row>
    <row r="188" spans="2:22" ht="26.25">
      <c r="B188" s="10">
        <v>61813</v>
      </c>
      <c r="C188" s="31" t="s">
        <v>202</v>
      </c>
      <c r="D188" s="51"/>
      <c r="U188" s="19">
        <v>61813</v>
      </c>
    </row>
    <row r="189" spans="2:22" s="14" customFormat="1">
      <c r="B189" s="52">
        <v>61814</v>
      </c>
      <c r="C189" s="53" t="s">
        <v>203</v>
      </c>
      <c r="D189" s="50"/>
      <c r="U189" s="15">
        <v>61814</v>
      </c>
    </row>
    <row r="190" spans="2:22" s="14" customFormat="1">
      <c r="B190" s="12">
        <v>61815</v>
      </c>
      <c r="C190" s="13" t="s">
        <v>204</v>
      </c>
      <c r="D190" s="50"/>
      <c r="K190" s="15" t="str">
        <f>TRIM($B190)&amp;"-"&amp;TEXT(K$2,"00000")</f>
        <v>61815-03001</v>
      </c>
      <c r="R190" s="15" t="str">
        <f>TRIM($B190)&amp;"-"&amp;TEXT(R$2,"00000")</f>
        <v>61815-04001</v>
      </c>
    </row>
    <row r="191" spans="2:22">
      <c r="B191" s="21" t="s">
        <v>48</v>
      </c>
      <c r="C191" s="22"/>
      <c r="D191" s="51"/>
    </row>
    <row r="192" spans="2:22">
      <c r="B192" s="26"/>
      <c r="C192" s="11"/>
      <c r="D192" s="51"/>
    </row>
    <row r="193" spans="2:22">
      <c r="B193" s="10" t="s">
        <v>205</v>
      </c>
      <c r="C193" s="11"/>
      <c r="D193" s="51"/>
    </row>
    <row r="194" spans="2:22" s="14" customFormat="1" ht="25.5">
      <c r="B194" s="12">
        <v>61803</v>
      </c>
      <c r="C194" s="13" t="s">
        <v>206</v>
      </c>
      <c r="D194" s="15" t="str">
        <f t="shared" ref="D194:V196" si="22">TRIM($B194)&amp;"-"&amp;TEXT(D$2,"00000")</f>
        <v>61803-01001</v>
      </c>
      <c r="E194" s="15" t="str">
        <f t="shared" si="22"/>
        <v>61803-15000</v>
      </c>
      <c r="F194" s="15" t="str">
        <f t="shared" si="22"/>
        <v>61803-05001</v>
      </c>
      <c r="G194" s="15" t="str">
        <f t="shared" si="22"/>
        <v>61803-07000</v>
      </c>
      <c r="H194" s="15" t="str">
        <f t="shared" si="22"/>
        <v>61803-02001</v>
      </c>
      <c r="I194" s="15" t="str">
        <f t="shared" si="22"/>
        <v>61803-01002</v>
      </c>
      <c r="J194" s="15" t="str">
        <f t="shared" si="22"/>
        <v>61803-01003</v>
      </c>
      <c r="K194" s="15" t="str">
        <f t="shared" si="22"/>
        <v>61803-03001</v>
      </c>
      <c r="L194" s="15" t="str">
        <f t="shared" si="22"/>
        <v>61803-18000</v>
      </c>
      <c r="M194" s="15" t="str">
        <f t="shared" si="22"/>
        <v>61803-01004</v>
      </c>
      <c r="N194" s="15" t="str">
        <f t="shared" si="22"/>
        <v>61803-01005</v>
      </c>
      <c r="O194" s="15" t="str">
        <f t="shared" si="22"/>
        <v>61803-16000</v>
      </c>
      <c r="P194" s="15" t="str">
        <f t="shared" si="22"/>
        <v>61803-17000</v>
      </c>
      <c r="Q194" s="15" t="str">
        <f t="shared" si="22"/>
        <v>61803-01007</v>
      </c>
      <c r="R194" s="15" t="str">
        <f t="shared" si="22"/>
        <v>61803-04001</v>
      </c>
      <c r="S194" s="15" t="str">
        <f t="shared" si="22"/>
        <v>61803-06001</v>
      </c>
      <c r="T194" s="15" t="str">
        <f t="shared" si="22"/>
        <v>61803-01006</v>
      </c>
      <c r="U194" s="15" t="str">
        <f t="shared" si="22"/>
        <v>61803-08001</v>
      </c>
      <c r="V194" s="15" t="str">
        <f t="shared" si="22"/>
        <v>61803-01008</v>
      </c>
    </row>
    <row r="195" spans="2:22" s="14" customFormat="1">
      <c r="B195" s="12" t="s">
        <v>207</v>
      </c>
      <c r="C195" s="13" t="s">
        <v>208</v>
      </c>
      <c r="D195" s="15" t="str">
        <f t="shared" si="22"/>
        <v>62710-01001</v>
      </c>
      <c r="E195" s="15" t="str">
        <f t="shared" si="22"/>
        <v>62710-15000</v>
      </c>
    </row>
    <row r="196" spans="2:22" s="14" customFormat="1">
      <c r="B196" s="12">
        <v>62704</v>
      </c>
      <c r="C196" s="13" t="s">
        <v>209</v>
      </c>
      <c r="D196" s="15" t="str">
        <f t="shared" si="22"/>
        <v>62704-01001</v>
      </c>
      <c r="E196" s="15" t="str">
        <f t="shared" si="22"/>
        <v>62704-15000</v>
      </c>
      <c r="T196" s="15" t="str">
        <f>TRIM($B196)&amp;"-"&amp;TEXT(T$2,"00000")</f>
        <v>62704-01006</v>
      </c>
    </row>
    <row r="197" spans="2:22">
      <c r="B197" s="20"/>
      <c r="C197" s="11" t="s">
        <v>210</v>
      </c>
      <c r="D197" s="51"/>
      <c r="T197" s="24"/>
    </row>
    <row r="198" spans="2:22">
      <c r="B198" s="20"/>
      <c r="C198" s="11" t="s">
        <v>211</v>
      </c>
      <c r="D198" s="51"/>
      <c r="J198" s="24"/>
    </row>
    <row r="199" spans="2:22">
      <c r="B199" s="20"/>
      <c r="C199" s="11" t="s">
        <v>212</v>
      </c>
      <c r="D199" s="51"/>
      <c r="T199" s="24"/>
    </row>
    <row r="200" spans="2:22">
      <c r="B200" s="20"/>
      <c r="C200" s="11" t="s">
        <v>213</v>
      </c>
      <c r="D200" s="51"/>
      <c r="T200" s="24"/>
    </row>
    <row r="201" spans="2:22">
      <c r="B201" s="20"/>
      <c r="C201" s="11" t="s">
        <v>214</v>
      </c>
      <c r="D201" s="51"/>
      <c r="T201" s="24"/>
    </row>
    <row r="202" spans="2:22">
      <c r="B202" s="20"/>
      <c r="C202" s="11" t="s">
        <v>215</v>
      </c>
      <c r="D202" s="51"/>
      <c r="T202" s="24"/>
    </row>
    <row r="203" spans="2:22">
      <c r="B203" s="20"/>
      <c r="C203" s="11" t="s">
        <v>216</v>
      </c>
      <c r="D203" s="51"/>
      <c r="T203" s="24"/>
    </row>
    <row r="204" spans="2:22">
      <c r="B204" s="20"/>
      <c r="C204" s="54" t="s">
        <v>203</v>
      </c>
      <c r="D204" s="51"/>
      <c r="T204" s="24"/>
    </row>
    <row r="205" spans="2:22">
      <c r="B205" s="21" t="s">
        <v>48</v>
      </c>
      <c r="C205" s="22"/>
      <c r="D205" s="51"/>
    </row>
    <row r="206" spans="2:22" s="14" customFormat="1">
      <c r="B206" s="37">
        <v>62721</v>
      </c>
      <c r="C206" s="13" t="s">
        <v>217</v>
      </c>
      <c r="D206" s="15" t="str">
        <f t="shared" ref="D206:E206" si="23">TRIM($B206)&amp;"-"&amp;TEXT(D$2,"00000")</f>
        <v>62721-01001</v>
      </c>
      <c r="E206" s="15" t="str">
        <f t="shared" si="23"/>
        <v>62721-15000</v>
      </c>
      <c r="T206" s="15" t="str">
        <f>TRIM($B206)&amp;"-"&amp;TEXT(T$2,"00000")</f>
        <v>62721-01006</v>
      </c>
    </row>
    <row r="207" spans="2:22" s="14" customFormat="1">
      <c r="B207" s="37">
        <v>62999</v>
      </c>
      <c r="C207" s="13" t="s">
        <v>218</v>
      </c>
      <c r="D207" s="50"/>
      <c r="G207" s="15">
        <v>62999</v>
      </c>
    </row>
    <row r="208" spans="2:22" s="14" customFormat="1">
      <c r="B208" s="12">
        <v>62727</v>
      </c>
      <c r="C208" s="13" t="s">
        <v>219</v>
      </c>
      <c r="D208" s="15" t="str">
        <f>TRIM($B208)&amp;"-"&amp;TEXT(D$2,"00000")</f>
        <v>62727-01001</v>
      </c>
      <c r="E208" s="15" t="str">
        <f>TRIM($B208)&amp;"-"&amp;TEXT(E$2,"00000")</f>
        <v>62727-15000</v>
      </c>
      <c r="F208" s="15" t="str">
        <f>TRIM($B208)&amp;"-"&amp;TEXT(F$2,"00000")</f>
        <v>62727-05001</v>
      </c>
      <c r="G208" s="15" t="str">
        <f>TRIM($B208)&amp;"-"&amp;TEXT(G$2,"00000")</f>
        <v>62727-07000</v>
      </c>
      <c r="H208" s="15" t="str">
        <f t="shared" ref="H208:V208" si="24">TRIM($B208)&amp;"-"&amp;TEXT(H$2,"00000")</f>
        <v>62727-02001</v>
      </c>
      <c r="I208" s="15" t="str">
        <f t="shared" si="24"/>
        <v>62727-01002</v>
      </c>
      <c r="J208" s="15" t="str">
        <f t="shared" si="24"/>
        <v>62727-01003</v>
      </c>
      <c r="K208" s="15" t="str">
        <f t="shared" si="24"/>
        <v>62727-03001</v>
      </c>
      <c r="L208" s="15" t="str">
        <f t="shared" si="24"/>
        <v>62727-18000</v>
      </c>
      <c r="M208" s="15" t="str">
        <f t="shared" si="24"/>
        <v>62727-01004</v>
      </c>
      <c r="N208" s="15" t="str">
        <f t="shared" si="24"/>
        <v>62727-01005</v>
      </c>
      <c r="O208" s="15" t="str">
        <f t="shared" si="24"/>
        <v>62727-16000</v>
      </c>
      <c r="P208" s="15" t="str">
        <f t="shared" si="24"/>
        <v>62727-17000</v>
      </c>
      <c r="Q208" s="15" t="str">
        <f t="shared" si="24"/>
        <v>62727-01007</v>
      </c>
      <c r="R208" s="15" t="str">
        <f t="shared" si="24"/>
        <v>62727-04001</v>
      </c>
      <c r="S208" s="15" t="str">
        <f t="shared" si="24"/>
        <v>62727-06001</v>
      </c>
      <c r="T208" s="15" t="str">
        <f t="shared" si="24"/>
        <v>62727-01006</v>
      </c>
      <c r="U208" s="15" t="str">
        <f t="shared" si="24"/>
        <v>62727-08001</v>
      </c>
      <c r="V208" s="15" t="str">
        <f t="shared" si="24"/>
        <v>62727-01008</v>
      </c>
    </row>
    <row r="209" spans="2:22">
      <c r="B209" s="21" t="s">
        <v>48</v>
      </c>
      <c r="C209" s="22"/>
    </row>
    <row r="210" spans="2:22">
      <c r="B210" s="26"/>
      <c r="C210" s="11"/>
    </row>
    <row r="211" spans="2:22">
      <c r="B211" s="55" t="s">
        <v>220</v>
      </c>
      <c r="C211" s="56" t="s">
        <v>221</v>
      </c>
    </row>
    <row r="212" spans="2:22">
      <c r="B212" s="57" t="s">
        <v>222</v>
      </c>
      <c r="C212" s="57"/>
    </row>
    <row r="213" spans="2:22">
      <c r="B213" s="58">
        <v>61610</v>
      </c>
      <c r="C213" s="59" t="s">
        <v>223</v>
      </c>
      <c r="L213" s="19">
        <v>61610</v>
      </c>
    </row>
    <row r="214" spans="2:22">
      <c r="B214" s="58"/>
      <c r="C214" s="59"/>
    </row>
    <row r="215" spans="2:22" s="14" customFormat="1">
      <c r="B215" s="60">
        <v>61814</v>
      </c>
      <c r="C215" s="61" t="s">
        <v>224</v>
      </c>
      <c r="D215" s="15" t="str">
        <f>TRIM($B215)&amp;"-"&amp;TEXT(D$2,"00000")</f>
        <v>61814-01001</v>
      </c>
      <c r="E215" s="15" t="str">
        <f t="shared" ref="E215:V215" si="25">TRIM($B215)&amp;"-"&amp;TEXT(E$2,"00000")</f>
        <v>61814-15000</v>
      </c>
      <c r="F215" s="15" t="str">
        <f t="shared" si="25"/>
        <v>61814-05001</v>
      </c>
      <c r="G215" s="15" t="str">
        <f t="shared" si="25"/>
        <v>61814-07000</v>
      </c>
      <c r="H215" s="15" t="str">
        <f t="shared" si="25"/>
        <v>61814-02001</v>
      </c>
      <c r="I215" s="15" t="str">
        <f t="shared" si="25"/>
        <v>61814-01002</v>
      </c>
      <c r="J215" s="15" t="str">
        <f t="shared" si="25"/>
        <v>61814-01003</v>
      </c>
      <c r="K215" s="15" t="str">
        <f t="shared" si="25"/>
        <v>61814-03001</v>
      </c>
      <c r="L215" s="15" t="str">
        <f t="shared" si="25"/>
        <v>61814-18000</v>
      </c>
      <c r="M215" s="15" t="str">
        <f t="shared" si="25"/>
        <v>61814-01004</v>
      </c>
      <c r="N215" s="15" t="str">
        <f t="shared" si="25"/>
        <v>61814-01005</v>
      </c>
      <c r="O215" s="15" t="str">
        <f t="shared" si="25"/>
        <v>61814-16000</v>
      </c>
      <c r="P215" s="15" t="str">
        <f t="shared" si="25"/>
        <v>61814-17000</v>
      </c>
      <c r="Q215" s="15" t="str">
        <f t="shared" si="25"/>
        <v>61814-01007</v>
      </c>
      <c r="R215" s="15" t="str">
        <f t="shared" si="25"/>
        <v>61814-04001</v>
      </c>
      <c r="S215" s="15" t="str">
        <f t="shared" si="25"/>
        <v>61814-06001</v>
      </c>
      <c r="T215" s="15" t="str">
        <f t="shared" si="25"/>
        <v>61814-01006</v>
      </c>
      <c r="U215" s="15" t="str">
        <f t="shared" si="25"/>
        <v>61814-08001</v>
      </c>
      <c r="V215" s="15" t="str">
        <f t="shared" si="25"/>
        <v>61814-01008</v>
      </c>
    </row>
    <row r="216" spans="2:22">
      <c r="B216" s="58"/>
      <c r="C216" s="31" t="s">
        <v>225</v>
      </c>
      <c r="D216" s="24"/>
    </row>
    <row r="217" spans="2:22" ht="26.65">
      <c r="B217" s="58"/>
      <c r="C217" s="62" t="s">
        <v>226</v>
      </c>
      <c r="O217" s="24"/>
      <c r="R217" s="24"/>
    </row>
    <row r="218" spans="2:22">
      <c r="B218" s="58"/>
      <c r="C218" s="62" t="s">
        <v>227</v>
      </c>
      <c r="O218" s="24"/>
      <c r="R218" s="24"/>
    </row>
    <row r="219" spans="2:22">
      <c r="B219" s="58"/>
      <c r="C219" s="62" t="s">
        <v>228</v>
      </c>
      <c r="O219" s="24"/>
      <c r="R219" s="24"/>
      <c r="U219" s="24"/>
    </row>
    <row r="220" spans="2:22">
      <c r="B220" s="26"/>
      <c r="C220" s="11"/>
    </row>
    <row r="221" spans="2:22">
      <c r="B221" s="26"/>
      <c r="C221" s="11"/>
    </row>
    <row r="222" spans="2:22">
      <c r="B222" s="10" t="s">
        <v>229</v>
      </c>
    </row>
    <row r="223" spans="2:22" ht="25.5">
      <c r="B223" s="20">
        <v>61201</v>
      </c>
      <c r="C223" s="11" t="s">
        <v>230</v>
      </c>
      <c r="F223" s="19">
        <v>61201</v>
      </c>
    </row>
    <row r="224" spans="2:22">
      <c r="B224" s="20">
        <v>61202</v>
      </c>
      <c r="C224" s="11" t="s">
        <v>231</v>
      </c>
      <c r="F224" s="19">
        <v>61202</v>
      </c>
    </row>
    <row r="225" spans="2:6" ht="25.5">
      <c r="B225" s="20">
        <v>61301</v>
      </c>
      <c r="C225" s="11" t="s">
        <v>232</v>
      </c>
      <c r="F225" s="19">
        <v>61301</v>
      </c>
    </row>
    <row r="226" spans="2:6">
      <c r="B226" s="20">
        <v>62301</v>
      </c>
      <c r="C226" s="11" t="s">
        <v>233</v>
      </c>
      <c r="F226" s="19">
        <v>62301</v>
      </c>
    </row>
    <row r="227" spans="2:6">
      <c r="B227" s="20">
        <v>62302</v>
      </c>
      <c r="C227" s="11" t="s">
        <v>234</v>
      </c>
      <c r="F227" s="19">
        <v>62302</v>
      </c>
    </row>
    <row r="228" spans="2:6">
      <c r="B228" s="20">
        <v>62303</v>
      </c>
      <c r="C228" s="11" t="s">
        <v>235</v>
      </c>
      <c r="F228" s="19">
        <v>62303</v>
      </c>
    </row>
    <row r="229" spans="2:6" ht="25.5">
      <c r="B229" s="20">
        <v>62304</v>
      </c>
      <c r="C229" s="11" t="s">
        <v>236</v>
      </c>
      <c r="F229" s="19">
        <v>62304</v>
      </c>
    </row>
    <row r="230" spans="2:6">
      <c r="B230" s="20">
        <v>62305</v>
      </c>
      <c r="C230" s="11" t="s">
        <v>237</v>
      </c>
      <c r="F230" s="19">
        <v>62305</v>
      </c>
    </row>
    <row r="231" spans="2:6">
      <c r="B231" s="20">
        <v>62306</v>
      </c>
      <c r="C231" s="11" t="s">
        <v>238</v>
      </c>
      <c r="F231" s="19">
        <v>62306</v>
      </c>
    </row>
    <row r="232" spans="2:6">
      <c r="B232" s="20">
        <v>62310</v>
      </c>
      <c r="C232" s="11" t="s">
        <v>239</v>
      </c>
      <c r="F232" s="19">
        <v>62310</v>
      </c>
    </row>
    <row r="233" spans="2:6">
      <c r="B233" s="20">
        <v>61201</v>
      </c>
      <c r="C233" s="11" t="s">
        <v>240</v>
      </c>
      <c r="F233" s="19">
        <v>61201</v>
      </c>
    </row>
    <row r="234" spans="2:6">
      <c r="B234" s="20">
        <v>61202</v>
      </c>
      <c r="C234" s="11" t="s">
        <v>241</v>
      </c>
      <c r="F234" s="19">
        <v>61202</v>
      </c>
    </row>
    <row r="235" spans="2:6">
      <c r="B235" s="20">
        <v>61203</v>
      </c>
      <c r="C235" s="11" t="s">
        <v>242</v>
      </c>
      <c r="F235" s="19">
        <v>61203</v>
      </c>
    </row>
    <row r="236" spans="2:6">
      <c r="B236" s="21" t="s">
        <v>48</v>
      </c>
      <c r="C236" s="22"/>
    </row>
    <row r="237" spans="2:6">
      <c r="B237" s="11"/>
      <c r="C237" s="11"/>
    </row>
    <row r="238" spans="2:6">
      <c r="B238" s="63" t="s">
        <v>243</v>
      </c>
      <c r="C238" s="64"/>
    </row>
    <row r="239" spans="2:6">
      <c r="B239" s="65">
        <v>63000</v>
      </c>
      <c r="C239" s="65" t="s">
        <v>244</v>
      </c>
      <c r="F239" s="19">
        <v>63000</v>
      </c>
    </row>
    <row r="240" spans="2:6">
      <c r="B240" s="65">
        <v>63101</v>
      </c>
      <c r="C240" s="65" t="s">
        <v>245</v>
      </c>
      <c r="F240" s="19">
        <v>63101</v>
      </c>
    </row>
    <row r="241" spans="2:18">
      <c r="B241" s="65">
        <v>63102</v>
      </c>
      <c r="C241" s="65" t="s">
        <v>246</v>
      </c>
      <c r="F241" s="19">
        <v>63102</v>
      </c>
    </row>
    <row r="242" spans="2:18">
      <c r="B242" s="65">
        <v>63103</v>
      </c>
      <c r="C242" s="65" t="s">
        <v>247</v>
      </c>
      <c r="F242" s="19">
        <v>63103</v>
      </c>
    </row>
    <row r="243" spans="2:18">
      <c r="B243" s="65">
        <v>63104</v>
      </c>
      <c r="C243" s="65" t="s">
        <v>248</v>
      </c>
      <c r="F243" s="19">
        <v>63104</v>
      </c>
    </row>
    <row r="244" spans="2:18">
      <c r="B244" s="65">
        <v>63105</v>
      </c>
      <c r="C244" s="65" t="s">
        <v>249</v>
      </c>
      <c r="F244" s="19">
        <v>63105</v>
      </c>
    </row>
    <row r="245" spans="2:18">
      <c r="B245" s="65">
        <v>63999</v>
      </c>
      <c r="C245" s="65" t="s">
        <v>250</v>
      </c>
      <c r="F245" s="19">
        <v>63999</v>
      </c>
    </row>
    <row r="246" spans="2:18">
      <c r="B246" s="21" t="s">
        <v>48</v>
      </c>
      <c r="C246" s="66"/>
    </row>
    <row r="247" spans="2:18">
      <c r="B247" s="26"/>
      <c r="C247" s="11"/>
    </row>
    <row r="248" spans="2:18">
      <c r="B248" s="10" t="s">
        <v>251</v>
      </c>
      <c r="C248" s="11"/>
    </row>
    <row r="249" spans="2:18">
      <c r="B249" s="20">
        <v>61808</v>
      </c>
      <c r="C249" s="11" t="s">
        <v>252</v>
      </c>
      <c r="F249" s="19">
        <v>61808</v>
      </c>
    </row>
    <row r="250" spans="2:18">
      <c r="B250" s="21" t="s">
        <v>48</v>
      </c>
      <c r="C250" s="22"/>
    </row>
    <row r="251" spans="2:18">
      <c r="B251" s="26"/>
      <c r="C251" s="11"/>
    </row>
    <row r="252" spans="2:18">
      <c r="B252" s="10" t="s">
        <v>253</v>
      </c>
      <c r="C252" s="11"/>
    </row>
    <row r="253" spans="2:18">
      <c r="B253" s="20">
        <v>61807</v>
      </c>
      <c r="C253" s="11" t="s">
        <v>254</v>
      </c>
      <c r="F253" s="19" t="str">
        <f>TRIM($B253)&amp;"-"&amp;TEXT(F$2,"00000")</f>
        <v>61807-05001</v>
      </c>
      <c r="K253" s="19" t="str">
        <f>TRIM($B253)&amp;"-"&amp;TEXT(K$2,"00000")</f>
        <v>61807-03001</v>
      </c>
      <c r="O253" s="19" t="str">
        <f>TRIM($B253)&amp;"-"&amp;TEXT(O$2,"00000")</f>
        <v>61807-16000</v>
      </c>
      <c r="R253" s="19" t="str">
        <f>TRIM($B253)&amp;"-"&amp;TEXT(R$2,"00000")</f>
        <v>61807-04001</v>
      </c>
    </row>
    <row r="254" spans="2:18">
      <c r="B254" s="21" t="s">
        <v>48</v>
      </c>
      <c r="C254" s="67"/>
    </row>
    <row r="255" spans="2:18">
      <c r="B255" s="26"/>
      <c r="C255" s="11"/>
    </row>
    <row r="256" spans="2:18" ht="26.25">
      <c r="B256" s="10" t="s">
        <v>255</v>
      </c>
      <c r="C256" s="49"/>
    </row>
    <row r="257" spans="2:10">
      <c r="B257" s="20">
        <v>62726</v>
      </c>
      <c r="C257" s="11" t="s">
        <v>256</v>
      </c>
      <c r="J257" s="19">
        <v>62726</v>
      </c>
    </row>
    <row r="258" spans="2:10">
      <c r="B258" s="68" t="s">
        <v>48</v>
      </c>
      <c r="C258" s="69"/>
    </row>
    <row r="259" spans="2:10">
      <c r="B259" s="26"/>
      <c r="C259" s="11"/>
    </row>
    <row r="260" spans="2:10" ht="26.25">
      <c r="B260" s="21" t="s">
        <v>257</v>
      </c>
      <c r="C260" s="70"/>
    </row>
    <row r="261" spans="2:10">
      <c r="B261" s="10"/>
      <c r="C261" s="31"/>
    </row>
    <row r="263" spans="2:10">
      <c r="B263" s="71"/>
      <c r="C263" s="71"/>
    </row>
    <row r="264" spans="2:10">
      <c r="B264" s="72"/>
      <c r="C264" s="72"/>
    </row>
    <row r="265" spans="2:10">
      <c r="B265" s="73"/>
      <c r="C265" s="73"/>
    </row>
    <row r="266" spans="2:10">
      <c r="B266" s="73"/>
      <c r="C266" s="73"/>
    </row>
    <row r="267" spans="2:10">
      <c r="B267" s="73"/>
      <c r="C267" s="73"/>
    </row>
    <row r="268" spans="2:10">
      <c r="B268" s="73"/>
      <c r="C268" s="73"/>
    </row>
    <row r="269" spans="2:10">
      <c r="B269" s="74"/>
      <c r="C269" s="74"/>
    </row>
    <row r="271" spans="2:10">
      <c r="B271" s="75"/>
      <c r="C271" s="75"/>
    </row>
    <row r="272" spans="2:10">
      <c r="B272" s="75"/>
      <c r="C272" s="75"/>
    </row>
    <row r="273" spans="2:3">
      <c r="B273" s="75"/>
      <c r="C273" s="75"/>
    </row>
    <row r="274" spans="2:3">
      <c r="B274" s="75"/>
      <c r="C274" s="75"/>
    </row>
    <row r="275" spans="2:3">
      <c r="B275" s="75"/>
      <c r="C275" s="75"/>
    </row>
    <row r="276" spans="2:3">
      <c r="B276" s="75"/>
      <c r="C276" s="75"/>
    </row>
    <row r="277" spans="2:3">
      <c r="B277" s="76"/>
      <c r="C277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RETENTIVE</dc:creator>
  <cp:lastModifiedBy>RETENTIVE</cp:lastModifiedBy>
  <dcterms:created xsi:type="dcterms:W3CDTF">2026-10-15T23:03:20Z</dcterms:created>
  <dcterms:modified xsi:type="dcterms:W3CDTF">2026-10-15T23:04:06Z</dcterms:modified>
</cp:coreProperties>
</file>