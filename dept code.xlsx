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TENTIVE\Documents\"/>
    </mc:Choice>
  </mc:AlternateContent>
  <xr:revisionPtr revIDLastSave="0" documentId="8_{EADA7494-9382-432A-937B-72BA86947C76}" xr6:coauthVersionLast="47" xr6:coauthVersionMax="47" xr10:uidLastSave="{00000000-0000-0000-0000-000000000000}"/>
  <bookViews>
    <workbookView xWindow="-98" yWindow="-98" windowWidth="21795" windowHeight="13096" xr2:uid="{BA1F8D13-0742-4A34-B587-C9A8FB9EC747}"/>
  </bookViews>
  <sheets>
    <sheet name="CHART SHEET" sheetId="1" r:id="rId1"/>
  </sheets>
  <externalReferences>
    <externalReference r:id="rId2"/>
    <externalReference r:id="rId3"/>
  </externalReferences>
  <definedNames>
    <definedName name="FOREX">'[1]2025 CAPEX BUDGET'!$B$203</definedName>
    <definedName name="Inflation">'[2]RECURRENT EXPENDITURE-ORIGINAL'!$B$301</definedName>
    <definedName name="SSF">'[2]RECURRENT EXPENDITURE-ORIGINAL'!$B$299</definedName>
    <definedName name="Tier3">'[2]RECURRENT EXPENDITURE-ORIGINAL'!$B$300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260" i="1" l="1"/>
  <c r="O260" i="1"/>
  <c r="F260" i="1"/>
  <c r="V222" i="1"/>
  <c r="U222" i="1"/>
  <c r="T222" i="1"/>
  <c r="S222" i="1"/>
  <c r="R222" i="1"/>
  <c r="Q222" i="1"/>
  <c r="P222" i="1"/>
  <c r="O222" i="1"/>
  <c r="N222" i="1"/>
  <c r="M222" i="1"/>
  <c r="L222" i="1"/>
  <c r="K222" i="1"/>
  <c r="J222" i="1"/>
  <c r="I222" i="1"/>
  <c r="H222" i="1"/>
  <c r="G222" i="1"/>
  <c r="F222" i="1"/>
  <c r="E222" i="1"/>
  <c r="D222" i="1"/>
  <c r="V213" i="1"/>
  <c r="U213" i="1"/>
  <c r="T213" i="1"/>
  <c r="S213" i="1"/>
  <c r="R213" i="1"/>
  <c r="Q213" i="1"/>
  <c r="P213" i="1"/>
  <c r="O213" i="1"/>
  <c r="N213" i="1"/>
  <c r="M213" i="1"/>
  <c r="L213" i="1"/>
  <c r="K213" i="1"/>
  <c r="J213" i="1"/>
  <c r="I213" i="1"/>
  <c r="H213" i="1"/>
  <c r="G213" i="1"/>
  <c r="F213" i="1"/>
  <c r="E213" i="1"/>
  <c r="D213" i="1"/>
  <c r="T211" i="1"/>
  <c r="T200" i="1"/>
  <c r="V199" i="1"/>
  <c r="U199" i="1"/>
  <c r="T199" i="1"/>
  <c r="S199" i="1"/>
  <c r="R199" i="1"/>
  <c r="Q199" i="1"/>
  <c r="P199" i="1"/>
  <c r="O199" i="1"/>
  <c r="N199" i="1"/>
  <c r="M199" i="1"/>
  <c r="L199" i="1"/>
  <c r="K199" i="1"/>
  <c r="J199" i="1"/>
  <c r="I199" i="1"/>
  <c r="H199" i="1"/>
  <c r="G199" i="1"/>
  <c r="F199" i="1"/>
  <c r="E199" i="1"/>
  <c r="D199" i="1"/>
  <c r="R195" i="1"/>
  <c r="K195" i="1"/>
  <c r="T188" i="1"/>
  <c r="E188" i="1"/>
  <c r="D188" i="1"/>
  <c r="V187" i="1"/>
  <c r="U187" i="1"/>
  <c r="T187" i="1"/>
  <c r="S187" i="1"/>
  <c r="R187" i="1"/>
  <c r="Q187" i="1"/>
  <c r="P187" i="1"/>
  <c r="O187" i="1"/>
  <c r="N187" i="1"/>
  <c r="M187" i="1"/>
  <c r="L187" i="1"/>
  <c r="K187" i="1"/>
  <c r="J187" i="1"/>
  <c r="I187" i="1"/>
  <c r="H187" i="1"/>
  <c r="G187" i="1"/>
  <c r="F187" i="1"/>
  <c r="E187" i="1"/>
  <c r="D187" i="1"/>
  <c r="U186" i="1"/>
  <c r="V182" i="1"/>
  <c r="U182" i="1"/>
  <c r="T182" i="1"/>
  <c r="S182" i="1"/>
  <c r="R182" i="1"/>
  <c r="Q182" i="1"/>
  <c r="P182" i="1"/>
  <c r="O182" i="1"/>
  <c r="N182" i="1"/>
  <c r="M182" i="1"/>
  <c r="L182" i="1"/>
  <c r="K182" i="1"/>
  <c r="J182" i="1"/>
  <c r="I182" i="1"/>
  <c r="H182" i="1"/>
  <c r="G182" i="1"/>
  <c r="F182" i="1"/>
  <c r="E182" i="1"/>
  <c r="D182" i="1"/>
  <c r="V181" i="1"/>
  <c r="U181" i="1"/>
  <c r="T181" i="1"/>
  <c r="S181" i="1"/>
  <c r="R181" i="1"/>
  <c r="Q181" i="1"/>
  <c r="P181" i="1"/>
  <c r="O181" i="1"/>
  <c r="N181" i="1"/>
  <c r="M181" i="1"/>
  <c r="L181" i="1"/>
  <c r="K181" i="1"/>
  <c r="J181" i="1"/>
  <c r="I181" i="1"/>
  <c r="H181" i="1"/>
  <c r="G181" i="1"/>
  <c r="F181" i="1"/>
  <c r="E181" i="1"/>
  <c r="D181" i="1"/>
  <c r="L156" i="1"/>
  <c r="H156" i="1"/>
  <c r="V155" i="1"/>
  <c r="U155" i="1"/>
  <c r="T155" i="1"/>
  <c r="S155" i="1"/>
  <c r="R155" i="1"/>
  <c r="Q155" i="1"/>
  <c r="P155" i="1"/>
  <c r="O155" i="1"/>
  <c r="N155" i="1"/>
  <c r="M155" i="1"/>
  <c r="L155" i="1"/>
  <c r="K155" i="1"/>
  <c r="J155" i="1"/>
  <c r="I155" i="1"/>
  <c r="H155" i="1"/>
  <c r="G155" i="1"/>
  <c r="F155" i="1"/>
  <c r="E155" i="1"/>
  <c r="D155" i="1"/>
  <c r="R150" i="1"/>
  <c r="L150" i="1"/>
  <c r="K150" i="1"/>
  <c r="V141" i="1"/>
  <c r="U141" i="1"/>
  <c r="T141" i="1"/>
  <c r="S141" i="1"/>
  <c r="R141" i="1"/>
  <c r="Q141" i="1"/>
  <c r="P141" i="1"/>
  <c r="O141" i="1"/>
  <c r="N141" i="1"/>
  <c r="M141" i="1"/>
  <c r="L141" i="1"/>
  <c r="K141" i="1"/>
  <c r="J141" i="1"/>
  <c r="I141" i="1"/>
  <c r="H141" i="1"/>
  <c r="G141" i="1"/>
  <c r="F141" i="1"/>
  <c r="E141" i="1"/>
  <c r="D141" i="1"/>
  <c r="F137" i="1"/>
  <c r="D137" i="1"/>
  <c r="H134" i="1"/>
  <c r="V120" i="1"/>
  <c r="U120" i="1"/>
  <c r="T120" i="1"/>
  <c r="S120" i="1"/>
  <c r="R120" i="1"/>
  <c r="Q120" i="1"/>
  <c r="P120" i="1"/>
  <c r="O120" i="1"/>
  <c r="N120" i="1"/>
  <c r="M120" i="1"/>
  <c r="L120" i="1"/>
  <c r="K120" i="1"/>
  <c r="J120" i="1"/>
  <c r="I120" i="1"/>
  <c r="H120" i="1"/>
  <c r="G120" i="1"/>
  <c r="F120" i="1"/>
  <c r="E120" i="1"/>
  <c r="D120" i="1"/>
  <c r="H117" i="1"/>
  <c r="E116" i="1"/>
  <c r="R115" i="1"/>
  <c r="F115" i="1"/>
  <c r="F114" i="1"/>
  <c r="F113" i="1"/>
  <c r="F112" i="1"/>
  <c r="Q111" i="1"/>
  <c r="K111" i="1"/>
  <c r="R109" i="1"/>
  <c r="H108" i="1"/>
  <c r="S107" i="1"/>
  <c r="S106" i="1"/>
  <c r="H105" i="1"/>
  <c r="H104" i="1"/>
  <c r="H103" i="1"/>
  <c r="H102" i="1"/>
  <c r="H101" i="1"/>
  <c r="H100" i="1"/>
  <c r="H99" i="1"/>
  <c r="G96" i="1"/>
  <c r="G95" i="1"/>
  <c r="G93" i="1"/>
  <c r="G92" i="1"/>
  <c r="G91" i="1"/>
  <c r="G90" i="1"/>
  <c r="G89" i="1"/>
  <c r="G88" i="1"/>
  <c r="G87" i="1"/>
  <c r="G86" i="1"/>
  <c r="G85" i="1"/>
  <c r="G84" i="1"/>
  <c r="G83" i="1"/>
  <c r="O82" i="1"/>
  <c r="H82" i="1"/>
  <c r="O81" i="1"/>
  <c r="H81" i="1"/>
  <c r="O71" i="1"/>
  <c r="H71" i="1"/>
  <c r="O70" i="1"/>
  <c r="H70" i="1"/>
  <c r="O69" i="1"/>
  <c r="H69" i="1"/>
  <c r="O68" i="1"/>
  <c r="H68" i="1"/>
  <c r="O67" i="1"/>
  <c r="H67" i="1"/>
  <c r="V56" i="1"/>
  <c r="U56" i="1"/>
  <c r="T56" i="1"/>
  <c r="S56" i="1"/>
  <c r="R56" i="1"/>
  <c r="Q56" i="1"/>
  <c r="P56" i="1"/>
  <c r="O56" i="1"/>
  <c r="N56" i="1"/>
  <c r="M56" i="1"/>
  <c r="L56" i="1"/>
  <c r="K56" i="1"/>
  <c r="J56" i="1"/>
  <c r="I56" i="1"/>
  <c r="H56" i="1"/>
  <c r="G56" i="1"/>
  <c r="F56" i="1"/>
  <c r="E56" i="1"/>
  <c r="D56" i="1"/>
  <c r="V49" i="1"/>
  <c r="U49" i="1"/>
  <c r="T49" i="1"/>
  <c r="S49" i="1"/>
  <c r="R49" i="1"/>
  <c r="Q49" i="1"/>
  <c r="P49" i="1"/>
  <c r="O49" i="1"/>
  <c r="N49" i="1"/>
  <c r="M49" i="1"/>
  <c r="L49" i="1"/>
  <c r="K49" i="1"/>
  <c r="J49" i="1"/>
  <c r="I49" i="1"/>
  <c r="H49" i="1"/>
  <c r="G49" i="1"/>
  <c r="F49" i="1"/>
  <c r="E49" i="1"/>
  <c r="D49" i="1"/>
  <c r="V48" i="1"/>
  <c r="U48" i="1"/>
  <c r="T48" i="1"/>
  <c r="S48" i="1"/>
  <c r="R48" i="1"/>
  <c r="Q48" i="1"/>
  <c r="P48" i="1"/>
  <c r="O48" i="1"/>
  <c r="N48" i="1"/>
  <c r="M48" i="1"/>
  <c r="L48" i="1"/>
  <c r="K48" i="1"/>
  <c r="J48" i="1"/>
  <c r="I48" i="1"/>
  <c r="H48" i="1"/>
  <c r="G48" i="1"/>
  <c r="F48" i="1"/>
  <c r="E48" i="1"/>
  <c r="D48" i="1"/>
  <c r="J46" i="1"/>
  <c r="G46" i="1"/>
  <c r="V40" i="1"/>
  <c r="U40" i="1"/>
  <c r="T40" i="1"/>
  <c r="S40" i="1"/>
  <c r="R40" i="1"/>
  <c r="Q40" i="1"/>
  <c r="P40" i="1"/>
  <c r="O40" i="1"/>
  <c r="N40" i="1"/>
  <c r="M40" i="1"/>
  <c r="L40" i="1"/>
  <c r="K40" i="1"/>
  <c r="J40" i="1"/>
  <c r="I40" i="1"/>
  <c r="H40" i="1"/>
  <c r="G40" i="1"/>
  <c r="F40" i="1"/>
  <c r="E40" i="1"/>
  <c r="D40" i="1"/>
  <c r="P39" i="1"/>
  <c r="O39" i="1"/>
  <c r="K39" i="1"/>
  <c r="J39" i="1"/>
  <c r="G39" i="1"/>
  <c r="V38" i="1"/>
  <c r="U38" i="1"/>
  <c r="T38" i="1"/>
  <c r="S38" i="1"/>
  <c r="R38" i="1"/>
  <c r="Q38" i="1"/>
  <c r="P38" i="1"/>
  <c r="O38" i="1"/>
  <c r="N38" i="1"/>
  <c r="M38" i="1"/>
  <c r="L38" i="1"/>
  <c r="K38" i="1"/>
  <c r="J38" i="1"/>
  <c r="I38" i="1"/>
  <c r="H38" i="1"/>
  <c r="G38" i="1"/>
  <c r="F38" i="1"/>
  <c r="E38" i="1"/>
  <c r="D38" i="1"/>
  <c r="J35" i="1"/>
  <c r="I35" i="1"/>
  <c r="G35" i="1"/>
  <c r="F35" i="1"/>
  <c r="E35" i="1"/>
  <c r="D35" i="1"/>
  <c r="V34" i="1"/>
  <c r="R34" i="1"/>
  <c r="V20" i="1"/>
  <c r="U20" i="1"/>
  <c r="T20" i="1"/>
  <c r="S20" i="1"/>
  <c r="R20" i="1"/>
  <c r="Q20" i="1"/>
  <c r="P20" i="1"/>
  <c r="O20" i="1"/>
  <c r="N20" i="1"/>
  <c r="M20" i="1"/>
  <c r="L20" i="1"/>
  <c r="K20" i="1"/>
  <c r="J20" i="1"/>
  <c r="I20" i="1"/>
  <c r="H20" i="1"/>
  <c r="G20" i="1"/>
  <c r="F20" i="1"/>
  <c r="E20" i="1"/>
  <c r="D20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H18" i="1"/>
  <c r="G18" i="1"/>
  <c r="F18" i="1"/>
  <c r="E18" i="1"/>
  <c r="D18" i="1"/>
  <c r="V12" i="1"/>
  <c r="U12" i="1"/>
  <c r="T12" i="1"/>
  <c r="S12" i="1"/>
  <c r="R12" i="1"/>
  <c r="Q12" i="1"/>
  <c r="P12" i="1"/>
  <c r="O12" i="1"/>
  <c r="N12" i="1"/>
  <c r="M12" i="1"/>
  <c r="L12" i="1"/>
  <c r="K12" i="1"/>
  <c r="J12" i="1"/>
  <c r="I12" i="1"/>
  <c r="H12" i="1"/>
  <c r="G12" i="1"/>
  <c r="F12" i="1"/>
  <c r="E12" i="1"/>
  <c r="D12" i="1"/>
</calcChain>
</file>

<file path=xl/sharedStrings.xml><?xml version="1.0" encoding="utf-8"?>
<sst xmlns="http://schemas.openxmlformats.org/spreadsheetml/2006/main" count="291" uniqueCount="262">
  <si>
    <t>GCEO/MD</t>
  </si>
  <si>
    <t>COO</t>
  </si>
  <si>
    <t>Finance</t>
  </si>
  <si>
    <t>Admin/HR</t>
  </si>
  <si>
    <t>Operations</t>
  </si>
  <si>
    <t>CIA</t>
  </si>
  <si>
    <t>HSSE</t>
  </si>
  <si>
    <t>TSPM</t>
  </si>
  <si>
    <t>Estates</t>
  </si>
  <si>
    <t>Legal</t>
  </si>
  <si>
    <t>Research</t>
  </si>
  <si>
    <t>TSP</t>
  </si>
  <si>
    <t>Non Fuels</t>
  </si>
  <si>
    <t>Procurement</t>
  </si>
  <si>
    <t>Fuels Marketing</t>
  </si>
  <si>
    <t>IT</t>
  </si>
  <si>
    <t>Business Development</t>
  </si>
  <si>
    <t>Corporate Affairs</t>
  </si>
  <si>
    <t>Risk</t>
  </si>
  <si>
    <t>01001</t>
  </si>
  <si>
    <t>09001</t>
  </si>
  <si>
    <t>05001</t>
  </si>
  <si>
    <t>07000</t>
  </si>
  <si>
    <t>02001</t>
  </si>
  <si>
    <t>01002</t>
  </si>
  <si>
    <t>01003</t>
  </si>
  <si>
    <t>03001</t>
  </si>
  <si>
    <t>01004</t>
  </si>
  <si>
    <t>01005</t>
  </si>
  <si>
    <t>01007</t>
  </si>
  <si>
    <t>04001</t>
  </si>
  <si>
    <t>06001</t>
  </si>
  <si>
    <t>01006</t>
  </si>
  <si>
    <t>08001</t>
  </si>
  <si>
    <t>01008</t>
  </si>
  <si>
    <t>ACCOUNT CODES</t>
  </si>
  <si>
    <t>DESCRIPTION</t>
  </si>
  <si>
    <t>2. WAGES AND SALARIES</t>
  </si>
  <si>
    <t>Normal Salaries &amp; Wages</t>
  </si>
  <si>
    <t xml:space="preserve"> </t>
  </si>
  <si>
    <t>Overtime</t>
  </si>
  <si>
    <t>SSF Employer's Contribution</t>
  </si>
  <si>
    <t>Employer Tier 3 Contri</t>
  </si>
  <si>
    <t>Early Retirement</t>
  </si>
  <si>
    <t>Annual Bonus</t>
  </si>
  <si>
    <t>Staff Cost - Month 13</t>
  </si>
  <si>
    <t>Subsriptions to Professional Bodies</t>
  </si>
  <si>
    <t>Contigency</t>
  </si>
  <si>
    <t>SUB-TOTAL</t>
  </si>
  <si>
    <t>2. TRAVELLING &amp; TRANSPORT</t>
  </si>
  <si>
    <t>Transfers &amp; Relocation Allowances</t>
  </si>
  <si>
    <t>Transport Expenses</t>
  </si>
  <si>
    <t>Training (Overseas)</t>
  </si>
  <si>
    <t>Air Tickets</t>
  </si>
  <si>
    <t>Accommodation</t>
  </si>
  <si>
    <t>Per Diem / DSA</t>
  </si>
  <si>
    <t>Ground Transport</t>
  </si>
  <si>
    <t>Meal and Entertainment</t>
  </si>
  <si>
    <t>Meeting Expenses</t>
  </si>
  <si>
    <t>Visa Processing</t>
  </si>
  <si>
    <t xml:space="preserve">TOTAL </t>
  </si>
  <si>
    <t>3. OTHER PERSONNEL COST</t>
  </si>
  <si>
    <t>61805</t>
  </si>
  <si>
    <t>Training - Frontline</t>
  </si>
  <si>
    <t>Seasonal, End of Year Activities</t>
  </si>
  <si>
    <t>Medical</t>
  </si>
  <si>
    <t>Staff Welfare</t>
  </si>
  <si>
    <t>Training-LOCAL</t>
  </si>
  <si>
    <t>62615</t>
  </si>
  <si>
    <t xml:space="preserve">Uniforms </t>
  </si>
  <si>
    <t>Staff cost - Misc.</t>
  </si>
  <si>
    <t>Staff Cost - others (long service Awards)</t>
  </si>
  <si>
    <t>Staff Cost - others (Salaries Appraisals - back pay)</t>
  </si>
  <si>
    <t>TOTAL</t>
  </si>
  <si>
    <t>Staff Cost - Retired staff Medicals</t>
  </si>
  <si>
    <t>Scholarship</t>
  </si>
  <si>
    <t>Staff Cost - Medical Screening</t>
  </si>
  <si>
    <t>Canteen</t>
  </si>
  <si>
    <t>Fitness &amp; Recreational Assistance</t>
  </si>
  <si>
    <t>62725</t>
  </si>
  <si>
    <t>Hotel &amp; Outstation Expenses</t>
  </si>
  <si>
    <t>4. VARIOUS MATERIALS</t>
  </si>
  <si>
    <t>Coupon Production</t>
  </si>
  <si>
    <t>61607</t>
  </si>
  <si>
    <t>POS/GoCard Expenses</t>
  </si>
  <si>
    <t>Computing Expenses - Forms &amp; Accessories</t>
  </si>
  <si>
    <t>Printing &amp; Stationery</t>
  </si>
  <si>
    <t>5. ELECTRICITY &amp; WATER - DEPOTS, HOUSES &amp; OFFICES</t>
  </si>
  <si>
    <t>Electricity for Depots</t>
  </si>
  <si>
    <t>Water for Depots</t>
  </si>
  <si>
    <t>Electricity (offices &amp; houses)</t>
  </si>
  <si>
    <t>Water (offices &amp; houses)</t>
  </si>
  <si>
    <t>6. MAINTENANCE &amp; RUNNING COST</t>
  </si>
  <si>
    <t>MAINTENANCE OF STATIONS</t>
  </si>
  <si>
    <t>Genset Maint. &amp; Repairs</t>
  </si>
  <si>
    <t>Pump Maint. &amp; Repairs</t>
  </si>
  <si>
    <t xml:space="preserve">General Maint. &amp; Repairs </t>
  </si>
  <si>
    <t>Maintenance of Consumer Installations</t>
  </si>
  <si>
    <t>Maint. Of Aviation Depot - Accra</t>
  </si>
  <si>
    <t>Maint. Of Aviation Depot - Kumasi</t>
  </si>
  <si>
    <t>Maint. Of Aviation Depot - Takoradi</t>
  </si>
  <si>
    <t>61445</t>
  </si>
  <si>
    <t>Maint. Of Aviation Depot - Tamale</t>
  </si>
  <si>
    <t>Maint of  LPG &amp; Lubes Depot -KUMASI</t>
  </si>
  <si>
    <t>Maint of  LPG &amp; Lubes Depot -TEMA</t>
  </si>
  <si>
    <t>Maint of Bunkering - Sekondi Naval Base &amp; T'adi Harbour</t>
  </si>
  <si>
    <t>Maint of Lubes Depot -TAKORADI</t>
  </si>
  <si>
    <t>Maint of Lubes Depot -TAMALE</t>
  </si>
  <si>
    <t>Maint. Of Installations</t>
  </si>
  <si>
    <t>Maintenance of Plant, Machinery &amp; Equipment</t>
  </si>
  <si>
    <t>Revenue Generating Vehicles - Cost of Labour Charges</t>
  </si>
  <si>
    <t>Revenue Generating Vehicles - Cost of Spares</t>
  </si>
  <si>
    <t>Revenue Generating Vehicles - Cost of Tyres</t>
  </si>
  <si>
    <t>Revenue Generating Vehicles - Insurance</t>
  </si>
  <si>
    <t>Revenue Generating Vehicles - Fuels</t>
  </si>
  <si>
    <t>Revenue Generating Vehicles - Lubes</t>
  </si>
  <si>
    <t>Revenue Generating Vehicles - Permits &amp; Licensing</t>
  </si>
  <si>
    <t>Administration Vehicles - Cost of Labour Charges And Spares</t>
  </si>
  <si>
    <t>Administration Vehicles - Cost of Spares</t>
  </si>
  <si>
    <t>62102</t>
  </si>
  <si>
    <t>Administration Vehicles - Cost of Tyres</t>
  </si>
  <si>
    <t>Administration Vehicles - Fuels (Internal Consumption)</t>
  </si>
  <si>
    <t>Administration Vehicles - Lubes</t>
  </si>
  <si>
    <t>Computing Expenses - Computer, Software &amp; Network Maintenance</t>
  </si>
  <si>
    <t>62501</t>
  </si>
  <si>
    <t>Security - HSSE  Maintenance * look for details</t>
  </si>
  <si>
    <t>Maintenance of Office</t>
  </si>
  <si>
    <t>Maintenance of Gensets - Offices</t>
  </si>
  <si>
    <t>Maint of Guest House</t>
  </si>
  <si>
    <t>Maint of Residential Accomodation</t>
  </si>
  <si>
    <t>Maint of Head office</t>
  </si>
  <si>
    <t>Maint - Other Residences</t>
  </si>
  <si>
    <t>Maintenance of Office Equipment</t>
  </si>
  <si>
    <t>Coupons Replacement</t>
  </si>
  <si>
    <t>Software License</t>
  </si>
  <si>
    <t>Aro Warehouse Maintenance</t>
  </si>
  <si>
    <t>Take Over Stations (Commissions)</t>
  </si>
  <si>
    <t>Lubes Production / Business Development</t>
  </si>
  <si>
    <t>Clearing &amp; Handling Charges</t>
  </si>
  <si>
    <t>Stock Losses</t>
  </si>
  <si>
    <t>Damaged Stocks</t>
  </si>
  <si>
    <t>62783</t>
  </si>
  <si>
    <t>Debt Recovery</t>
  </si>
  <si>
    <t>Loyalty Award</t>
  </si>
  <si>
    <t>Housing Rent For Personnel</t>
  </si>
  <si>
    <t>Maintenance of borehole and ROM – Offices</t>
  </si>
  <si>
    <t>ISO Management Systems</t>
  </si>
  <si>
    <t>Frontline Training </t>
  </si>
  <si>
    <t>61440</t>
  </si>
  <si>
    <t xml:space="preserve">Furniture and Office Equipment </t>
  </si>
  <si>
    <t>Rent - Administration</t>
  </si>
  <si>
    <t>7. VARIOUS SERVICES</t>
  </si>
  <si>
    <t>Security Services</t>
  </si>
  <si>
    <t>Contract Labour</t>
  </si>
  <si>
    <t>Cleaning Services</t>
  </si>
  <si>
    <t>8. THROUGHPUT CHARGES</t>
  </si>
  <si>
    <t>9. PROFESSIONAL SERVICE</t>
  </si>
  <si>
    <t>Calibration of U/G Tanks</t>
  </si>
  <si>
    <t>61101-02001</t>
  </si>
  <si>
    <t>Standard Boards &amp; Statutory</t>
  </si>
  <si>
    <t>Survey Fees</t>
  </si>
  <si>
    <t>Annual General Meeting</t>
  </si>
  <si>
    <t>62701-01001</t>
  </si>
  <si>
    <t>Audit Fees</t>
  </si>
  <si>
    <t>Directors Renumeration</t>
  </si>
  <si>
    <t>Directors Expenses</t>
  </si>
  <si>
    <t>Professional Services (Fees &amp; Charges)</t>
  </si>
  <si>
    <t>10. TAXES/LEVIES/PERMITS</t>
  </si>
  <si>
    <t>Revenue Generating Vehicles - Permits &amp; Licenses</t>
  </si>
  <si>
    <t>Ground Rent &amp; Parking Lot</t>
  </si>
  <si>
    <t>Motorway Toll - Revenue Generating Vehicles</t>
  </si>
  <si>
    <t>Administration Vehicles - Permits &amp; Licenses</t>
  </si>
  <si>
    <t>Administration Vehicles - Motorway Tolls</t>
  </si>
  <si>
    <t>Permit &amp; Licenses</t>
  </si>
  <si>
    <t>Property Rate</t>
  </si>
  <si>
    <t>11. EQUIPMENT HIRING &amp; RENTAL</t>
  </si>
  <si>
    <t>Equipment Hiring</t>
  </si>
  <si>
    <t>General Rates on Buildings - Depots &amp; Stations</t>
  </si>
  <si>
    <t xml:space="preserve">12. STATIONS LAND LEASING </t>
  </si>
  <si>
    <t>Annual Lease</t>
  </si>
  <si>
    <t>13. INSURANCE PREMIUM</t>
  </si>
  <si>
    <t>Assets All risk</t>
  </si>
  <si>
    <t>Insurance - Depots</t>
  </si>
  <si>
    <t>Insurance - Motor Vehicles</t>
  </si>
  <si>
    <t xml:space="preserve">Insurance - Plant, Machinery &amp; Equipment (JV) </t>
  </si>
  <si>
    <t>Insurance - Stations (Company Owned)</t>
  </si>
  <si>
    <t>Administration Vehicles - Insurance</t>
  </si>
  <si>
    <t>Insurance - Head office</t>
  </si>
  <si>
    <t>Insurance - Residences</t>
  </si>
  <si>
    <t>62403</t>
  </si>
  <si>
    <t>Insurance - Goods in transit</t>
  </si>
  <si>
    <t>Insurance - Fidelity Guarantee</t>
  </si>
  <si>
    <t>Insurance - Public Liability (KIA, TDI and KSI)</t>
  </si>
  <si>
    <t>Insurance - Burglary</t>
  </si>
  <si>
    <t>Staff Cost - Life Insurance</t>
  </si>
  <si>
    <t>14. POST &amp; TELECOMMUNICATION</t>
  </si>
  <si>
    <t>Computing Expenses - WAN &amp; Internet</t>
  </si>
  <si>
    <t>Postage &amp; Telephone</t>
  </si>
  <si>
    <t xml:space="preserve">15. SALES PROMOTION &amp; ADVERTISING </t>
  </si>
  <si>
    <t>Advertising</t>
  </si>
  <si>
    <t>Sales Promotion</t>
  </si>
  <si>
    <t>Sponsorship</t>
  </si>
  <si>
    <t>Events</t>
  </si>
  <si>
    <t>stakeholder Relation( Media)</t>
  </si>
  <si>
    <t>Customer Care Expenses</t>
  </si>
  <si>
    <t>Business Promotion (Brands Ambassador)</t>
  </si>
  <si>
    <t>Branded items, Events</t>
  </si>
  <si>
    <t>Bonus - Frontline</t>
  </si>
  <si>
    <t>16. OTHER COSTS</t>
  </si>
  <si>
    <t>Subscriptions - Various Business Associations (incl industry</t>
  </si>
  <si>
    <t>CSI</t>
  </si>
  <si>
    <t>DIRECTORS FEES &amp; EXPENSES</t>
  </si>
  <si>
    <t>Community Support - Impact projects</t>
  </si>
  <si>
    <t>Health and Safety</t>
  </si>
  <si>
    <t>Community Support - Education</t>
  </si>
  <si>
    <t>Community Support - Capacity building -</t>
  </si>
  <si>
    <t>Environmental Protection and Sustainability</t>
  </si>
  <si>
    <t>Heritage Support</t>
  </si>
  <si>
    <t>Stakeholder Relation</t>
  </si>
  <si>
    <t>Donations</t>
  </si>
  <si>
    <t>Admin Expenses - Others</t>
  </si>
  <si>
    <t>Business Lunch</t>
  </si>
  <si>
    <t>Code</t>
  </si>
  <si>
    <t>Decription</t>
  </si>
  <si>
    <t>1. Rates &amp; Levies</t>
  </si>
  <si>
    <t>Business Operating Permits &amp; Signages</t>
  </si>
  <si>
    <t>Rent - Ridge &amp; Bitumen Office</t>
  </si>
  <si>
    <t>Committee Expenses  &amp; Honararium</t>
  </si>
  <si>
    <t>Business Promotion</t>
  </si>
  <si>
    <t>Contingency</t>
  </si>
  <si>
    <t>Promotional Activities (Targeted Promos, discounts etc</t>
  </si>
  <si>
    <t>Marketing Conferences</t>
  </si>
  <si>
    <t>Event Launches &amp; Station Commissions</t>
  </si>
  <si>
    <t>17. DEPRECIATION OF FIXED ASSETS</t>
  </si>
  <si>
    <t>Depreciation - GOIL Rebranding (Amortisation)</t>
  </si>
  <si>
    <t>Depreciation - Motor Vehicles</t>
  </si>
  <si>
    <t>Depreciation - Plant, Machinery &amp; Equipment</t>
  </si>
  <si>
    <t>Depreciation - Leasehold Land</t>
  </si>
  <si>
    <t>Depreciation - Buildings</t>
  </si>
  <si>
    <t>Depreciation - Computers &amp; Accessories</t>
  </si>
  <si>
    <t>Depreciation - Furniture, Fittings &amp; Equipment</t>
  </si>
  <si>
    <t>Depreciation - Software</t>
  </si>
  <si>
    <t>Depreciation - Freehold Land</t>
  </si>
  <si>
    <t>Depreciation (Assets Impairment)</t>
  </si>
  <si>
    <t>Depreciation GOIL Rebranding Amortisation</t>
  </si>
  <si>
    <t>Depreciation Motor Vehicles</t>
  </si>
  <si>
    <t>Depreciation Plant Machinery &amp; Equipment</t>
  </si>
  <si>
    <t>18. FINANCIAL CHARGES</t>
  </si>
  <si>
    <t>FINANCE COST</t>
  </si>
  <si>
    <t>Bank Charges</t>
  </si>
  <si>
    <t>Bank Interest</t>
  </si>
  <si>
    <t>Exchange Losses</t>
  </si>
  <si>
    <t>Interest Payable to Third Parties</t>
  </si>
  <si>
    <t>Floatation &amp; Listing Expenses</t>
  </si>
  <si>
    <t>Finance Cost - Others</t>
  </si>
  <si>
    <t>19. SUNDRY CHARGES</t>
  </si>
  <si>
    <t>Bad Debts</t>
  </si>
  <si>
    <t xml:space="preserve">20. DISCOUNT </t>
  </si>
  <si>
    <t>Discount Allowed</t>
  </si>
  <si>
    <t xml:space="preserve">21. HEALTH, SAFETY, SECURITY &amp; ENVIRONMENT </t>
  </si>
  <si>
    <t>ISO 9001:2015 Certification</t>
  </si>
  <si>
    <t>TOTAL RECURRENT EXPENSES BEFORE FINANCIAL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</si>
</sst>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3" formatCode="_(* #,##0.00_);_(* \(#,##0.00\);_(* &quot;-&quot;??_);_(@_)"/>
    <numFmt numFmtId="164" formatCode="_-* #,##0_-;\-* #,##0_-;_-* &quot;-&quot;??_-;_-@_-"/>
  </numFmts>
  <fonts count="1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 Unicode MS"/>
    </font>
    <font>
      <b/>
      <sz val="10"/>
      <name val="Arial Unicode MS"/>
    </font>
    <font>
      <sz val="11"/>
      <name val="Calibri"/>
      <family val="2"/>
      <scheme val="minor"/>
    </font>
    <font>
      <b/>
      <sz val="10"/>
      <color theme="1"/>
      <name val="Arial Unicode MS"/>
    </font>
    <font>
      <sz val="10"/>
      <name val="Arial Unicode MS"/>
    </font>
    <font>
      <sz val="11"/>
      <color rgb="FFFFFFFF"/>
      <name val="Calibri"/>
      <family val="2"/>
      <scheme val="minor"/>
    </font>
    <font>
      <sz val="10"/>
      <color theme="5" tint="-0.499984740745262"/>
      <name val="Arial Unicode MS"/>
    </font>
    <font>
      <sz val="11"/>
      <color theme="5" tint="-0.499984740745262"/>
      <name val="Calibri"/>
      <family val="2"/>
      <scheme val="minor"/>
    </font>
    <font>
      <sz val="11"/>
      <color rgb="FF9C0006"/>
      <name val="Calibri"/>
      <family val="2"/>
      <scheme val="minor"/>
    </font>
    <font>
      <sz val="10"/>
      <color rgb="FFFF0000"/>
      <name val="Arial Unicode MS"/>
    </font>
    <font>
      <sz val="11"/>
      <color rgb="FF006100"/>
      <name val="Calibri"/>
      <family val="2"/>
      <scheme val="minor"/>
    </font>
    <font>
      <sz val="10"/>
      <color rgb="FF006100"/>
      <name val="Arial Unicode MS"/>
    </font>
    <font>
      <sz val="10"/>
      <color rgb="FF000000"/>
      <name val="Arial Unicode MS"/>
    </font>
    <font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2" fillId="2" borderId="0" applyNumberFormat="0" applyBorder="0" applyAlignment="0" applyProtection="0"/>
    <xf numFmtId="0" fontId="10" fillId="3" borderId="0" applyNumberFormat="0" applyBorder="0" applyAlignment="0" applyProtection="0"/>
    <xf numFmtId="0" fontId="1" fillId="0" borderId="0"/>
    <xf numFmtId="0" fontId="1" fillId="0" borderId="0"/>
  </cellStyleXfs>
  <cellXfs count="67">
    <xf numFmtId="0" fontId="0" fillId="0" borderId="0" xfId="0"/>
    <xf numFmtId="3" fontId="2" fillId="0" borderId="1" xfId="0" applyNumberFormat="1" applyFont="1" applyBorder="1"/>
    <xf numFmtId="0" fontId="0" fillId="0" borderId="1" xfId="0" applyBorder="1" applyAlignment="1">
      <alignment horizontal="center"/>
    </xf>
    <xf numFmtId="0" fontId="0" fillId="0" borderId="1" xfId="0" applyBorder="1"/>
    <xf numFmtId="3" fontId="3" fillId="0" borderId="1" xfId="0" applyNumberFormat="1" applyFont="1" applyBorder="1" applyAlignment="1">
      <alignment horizontal="center" wrapText="1"/>
    </xf>
    <xf numFmtId="0" fontId="4" fillId="0" borderId="0" xfId="0" quotePrefix="1" applyFont="1" applyAlignment="1">
      <alignment horizontal="center" vertical="center"/>
    </xf>
    <xf numFmtId="0" fontId="0" fillId="0" borderId="0" xfId="0" quotePrefix="1" applyAlignment="1">
      <alignment horizontal="center" vertical="center"/>
    </xf>
    <xf numFmtId="3" fontId="5" fillId="4" borderId="1" xfId="0" applyNumberFormat="1" applyFont="1" applyFill="1" applyBorder="1" applyAlignment="1">
      <alignment horizontal="center" wrapText="1"/>
    </xf>
    <xf numFmtId="49" fontId="3" fillId="0" borderId="1" xfId="0" applyNumberFormat="1" applyFont="1" applyBorder="1" applyAlignment="1">
      <alignment horizontal="left" vertical="top" wrapText="1"/>
    </xf>
    <xf numFmtId="49" fontId="6" fillId="0" borderId="1" xfId="0" applyNumberFormat="1" applyFont="1" applyBorder="1" applyAlignment="1">
      <alignment horizontal="left" vertical="top" wrapText="1"/>
    </xf>
    <xf numFmtId="3" fontId="6" fillId="0" borderId="1" xfId="0" applyNumberFormat="1" applyFont="1" applyBorder="1" applyAlignment="1">
      <alignment horizontal="left" vertical="center" wrapText="1"/>
    </xf>
    <xf numFmtId="0" fontId="7" fillId="5" borderId="1" xfId="0" applyFont="1" applyFill="1" applyBorder="1"/>
    <xf numFmtId="49" fontId="8" fillId="0" borderId="1" xfId="0" applyNumberFormat="1" applyFont="1" applyBorder="1" applyAlignment="1">
      <alignment horizontal="left" vertical="top" wrapText="1"/>
    </xf>
    <xf numFmtId="3" fontId="8" fillId="0" borderId="1" xfId="0" applyNumberFormat="1" applyFont="1" applyBorder="1" applyAlignment="1">
      <alignment horizontal="left" vertical="center" wrapText="1"/>
    </xf>
    <xf numFmtId="0" fontId="9" fillId="0" borderId="1" xfId="0" applyFont="1" applyBorder="1"/>
    <xf numFmtId="49" fontId="3" fillId="4" borderId="1" xfId="0" applyNumberFormat="1" applyFont="1" applyFill="1" applyBorder="1" applyAlignment="1">
      <alignment horizontal="left" vertical="top" wrapText="1"/>
    </xf>
    <xf numFmtId="3" fontId="3" fillId="4" borderId="1" xfId="0" applyNumberFormat="1" applyFont="1" applyFill="1" applyBorder="1" applyAlignment="1">
      <alignment horizontal="left" vertical="center" wrapText="1"/>
    </xf>
    <xf numFmtId="3" fontId="6" fillId="0" borderId="1" xfId="4" applyNumberFormat="1" applyFont="1" applyFill="1" applyBorder="1" applyAlignment="1">
      <alignment horizontal="left" vertical="center" wrapText="1"/>
    </xf>
    <xf numFmtId="0" fontId="0" fillId="5" borderId="1" xfId="0" applyFill="1" applyBorder="1"/>
    <xf numFmtId="0" fontId="5" fillId="0" borderId="1" xfId="0" applyFont="1" applyBorder="1"/>
    <xf numFmtId="49" fontId="6" fillId="0" borderId="1" xfId="0" applyNumberFormat="1" applyFont="1" applyBorder="1" applyAlignment="1">
      <alignment vertical="top" wrapText="1"/>
    </xf>
    <xf numFmtId="0" fontId="7" fillId="6" borderId="1" xfId="0" applyFont="1" applyFill="1" applyBorder="1"/>
    <xf numFmtId="49" fontId="6" fillId="0" borderId="1" xfId="0" applyNumberFormat="1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3" fontId="3" fillId="0" borderId="1" xfId="0" applyNumberFormat="1" applyFont="1" applyBorder="1" applyAlignment="1">
      <alignment horizontal="left" vertical="center" wrapText="1"/>
    </xf>
    <xf numFmtId="164" fontId="6" fillId="0" borderId="1" xfId="1" applyNumberFormat="1" applyFont="1" applyFill="1" applyBorder="1" applyAlignment="1">
      <alignment vertical="center" wrapText="1"/>
    </xf>
    <xf numFmtId="49" fontId="11" fillId="0" borderId="1" xfId="0" applyNumberFormat="1" applyFont="1" applyBorder="1" applyAlignment="1">
      <alignment horizontal="left" vertical="top" wrapText="1"/>
    </xf>
    <xf numFmtId="3" fontId="11" fillId="0" borderId="1" xfId="0" applyNumberFormat="1" applyFont="1" applyBorder="1" applyAlignment="1">
      <alignment horizontal="left" vertical="center" wrapText="1"/>
    </xf>
    <xf numFmtId="164" fontId="11" fillId="0" borderId="1" xfId="1" applyNumberFormat="1" applyFont="1" applyFill="1" applyBorder="1" applyAlignment="1">
      <alignment vertical="center" wrapText="1"/>
    </xf>
    <xf numFmtId="0" fontId="7" fillId="5" borderId="1" xfId="0" applyFont="1" applyFill="1" applyBorder="1" applyAlignment="1">
      <alignment horizontal="right"/>
    </xf>
    <xf numFmtId="49" fontId="13" fillId="0" borderId="1" xfId="3" applyNumberFormat="1" applyFont="1" applyFill="1" applyBorder="1" applyAlignment="1">
      <alignment horizontal="left" vertical="top" wrapText="1"/>
    </xf>
    <xf numFmtId="49" fontId="6" fillId="7" borderId="1" xfId="0" applyNumberFormat="1" applyFont="1" applyFill="1" applyBorder="1" applyAlignment="1">
      <alignment horizontal="left" vertical="top" wrapText="1"/>
    </xf>
    <xf numFmtId="49" fontId="6" fillId="0" borderId="1" xfId="4" applyNumberFormat="1" applyFont="1" applyFill="1" applyBorder="1" applyAlignment="1">
      <alignment horizontal="left" vertical="top" wrapText="1"/>
    </xf>
    <xf numFmtId="164" fontId="6" fillId="0" borderId="1" xfId="1" quotePrefix="1" applyNumberFormat="1" applyFont="1" applyFill="1" applyBorder="1" applyAlignment="1">
      <alignment horizontal="left" vertical="center" wrapText="1"/>
    </xf>
    <xf numFmtId="164" fontId="6" fillId="0" borderId="1" xfId="1" applyNumberFormat="1" applyFont="1" applyFill="1" applyBorder="1" applyAlignment="1">
      <alignment horizontal="left" vertical="center" wrapText="1"/>
    </xf>
    <xf numFmtId="0" fontId="14" fillId="0" borderId="1" xfId="0" applyFont="1" applyBorder="1"/>
    <xf numFmtId="49" fontId="6" fillId="0" borderId="1" xfId="4" applyNumberFormat="1" applyFont="1" applyFill="1" applyBorder="1" applyAlignment="1">
      <alignment horizontal="left" vertical="center" wrapText="1"/>
    </xf>
    <xf numFmtId="49" fontId="2" fillId="0" borderId="1" xfId="0" applyNumberFormat="1" applyFont="1" applyBorder="1" applyAlignment="1">
      <alignment horizontal="left" wrapText="1"/>
    </xf>
    <xf numFmtId="49" fontId="6" fillId="8" borderId="1" xfId="0" applyNumberFormat="1" applyFont="1" applyFill="1" applyBorder="1" applyAlignment="1">
      <alignment horizontal="left" vertical="top" wrapText="1"/>
    </xf>
    <xf numFmtId="3" fontId="6" fillId="8" borderId="1" xfId="0" applyNumberFormat="1" applyFont="1" applyFill="1" applyBorder="1" applyAlignment="1">
      <alignment horizontal="left" vertical="center" wrapText="1"/>
    </xf>
    <xf numFmtId="3" fontId="2" fillId="0" borderId="1" xfId="0" applyNumberFormat="1" applyFont="1" applyBorder="1" applyAlignment="1">
      <alignment horizontal="left" vertical="center"/>
    </xf>
    <xf numFmtId="3" fontId="2" fillId="0" borderId="1" xfId="0" applyNumberFormat="1" applyFont="1" applyBorder="1" applyAlignment="1">
      <alignment horizontal="left" vertical="center" wrapText="1"/>
    </xf>
    <xf numFmtId="0" fontId="15" fillId="0" borderId="1" xfId="0" applyFont="1" applyBorder="1"/>
    <xf numFmtId="49" fontId="13" fillId="0" borderId="1" xfId="3" applyNumberFormat="1" applyFont="1" applyFill="1" applyBorder="1" applyAlignment="1">
      <alignment horizontal="left" wrapText="1"/>
    </xf>
    <xf numFmtId="3" fontId="13" fillId="0" borderId="1" xfId="3" applyNumberFormat="1" applyFont="1" applyFill="1" applyBorder="1" applyAlignment="1">
      <alignment horizontal="left" wrapText="1"/>
    </xf>
    <xf numFmtId="3" fontId="13" fillId="0" borderId="1" xfId="3" applyNumberFormat="1" applyFont="1" applyFill="1" applyBorder="1" applyAlignment="1">
      <alignment horizontal="left" vertical="center" wrapText="1"/>
    </xf>
    <xf numFmtId="49" fontId="3" fillId="0" borderId="1" xfId="5" applyNumberFormat="1" applyFont="1" applyBorder="1" applyAlignment="1">
      <alignment horizontal="left" vertical="top" wrapText="1"/>
    </xf>
    <xf numFmtId="3" fontId="3" fillId="0" borderId="1" xfId="5" applyNumberFormat="1" applyFont="1" applyBorder="1" applyAlignment="1">
      <alignment horizontal="center" vertical="center" wrapText="1"/>
    </xf>
    <xf numFmtId="49" fontId="3" fillId="0" borderId="1" xfId="5" applyNumberFormat="1" applyFont="1" applyBorder="1" applyAlignment="1">
      <alignment horizontal="left" wrapText="1"/>
    </xf>
    <xf numFmtId="0" fontId="2" fillId="0" borderId="1" xfId="5" applyFont="1" applyBorder="1"/>
    <xf numFmtId="0" fontId="5" fillId="0" borderId="1" xfId="5" applyFont="1" applyBorder="1"/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wrapText="1"/>
    </xf>
    <xf numFmtId="0" fontId="3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vertical="top" wrapText="1"/>
    </xf>
    <xf numFmtId="0" fontId="6" fillId="0" borderId="1" xfId="0" applyFont="1" applyBorder="1" applyAlignment="1">
      <alignment horizontal="left" vertical="top" wrapText="1"/>
    </xf>
    <xf numFmtId="0" fontId="3" fillId="4" borderId="1" xfId="0" applyFont="1" applyFill="1" applyBorder="1" applyAlignment="1">
      <alignment vertical="top" wrapText="1"/>
    </xf>
    <xf numFmtId="3" fontId="6" fillId="4" borderId="1" xfId="1" applyNumberFormat="1" applyFont="1" applyFill="1" applyBorder="1" applyAlignment="1">
      <alignment horizontal="left" vertical="center" wrapText="1"/>
    </xf>
    <xf numFmtId="49" fontId="3" fillId="4" borderId="1" xfId="1" applyNumberFormat="1" applyFont="1" applyFill="1" applyBorder="1" applyAlignment="1">
      <alignment horizontal="left" vertical="top" wrapText="1"/>
    </xf>
    <xf numFmtId="3" fontId="3" fillId="4" borderId="1" xfId="1" applyNumberFormat="1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wrapText="1"/>
    </xf>
    <xf numFmtId="3" fontId="2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left" vertical="top"/>
    </xf>
    <xf numFmtId="0" fontId="6" fillId="0" borderId="1" xfId="0" applyFont="1" applyBorder="1" applyAlignment="1">
      <alignment horizontal="left" vertical="top"/>
    </xf>
    <xf numFmtId="0" fontId="2" fillId="0" borderId="1" xfId="6" applyFont="1" applyBorder="1" applyAlignment="1">
      <alignment vertical="top"/>
    </xf>
    <xf numFmtId="9" fontId="2" fillId="0" borderId="1" xfId="2" applyFont="1" applyBorder="1"/>
    <xf numFmtId="16" fontId="2" fillId="0" borderId="1" xfId="2" applyNumberFormat="1" applyFont="1" applyBorder="1"/>
  </cellXfs>
  <cellStyles count="7">
    <cellStyle name="Bad" xfId="4" builtinId="27"/>
    <cellStyle name="Comma" xfId="1" builtinId="3"/>
    <cellStyle name="Good" xfId="3" builtinId="26"/>
    <cellStyle name="Normal" xfId="0" builtinId="0"/>
    <cellStyle name="Normal 15" xfId="6" xr:uid="{C68AEAAB-7907-4807-85D6-9936C5D7FE05}"/>
    <cellStyle name="Normal 3" xfId="5" xr:uid="{3F5175A6-A56F-4C15-B07A-9F5D772DD13D}"/>
    <cellStyle name="Percent" xfId="2" builtinId="5"/>
  </cellStyles>
  <dxfs count="0"/>
  <tableStyles count="1" defaultTableStyle="TableStyleMedium2" defaultPivotStyle="PivotStyleLight16">
    <tableStyle name="Invisible" pivot="0" table="0" count="0" xr9:uid="{ADDA0B22-25C2-4200-8786-BA68D7ECFAB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goilghana-my.sharepoint.com/personal/maureen_martey_goil_com_gh/Documents/Desktop/BUDGET%202025/GOIL%202025%20Budget%20fin%20update%20.16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ETENTIVE/Downloads/CONSOLIDATED%20BUDGET%202026-upda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25 MASTER BUDGET"/>
      <sheetName val="CASHFLOW 2025"/>
      <sheetName val="VOLUME 2025"/>
      <sheetName val="MARGIN 2025"/>
      <sheetName val="2025 CAPEX BUDGET"/>
      <sheetName val="ITRECB 2025"/>
      <sheetName val="OPSMAINT2025"/>
      <sheetName val="2025 Recurrent Expenses"/>
      <sheetName val="HSSE RECURRENT BUDGET 2025"/>
      <sheetName val="ITDCAPB"/>
      <sheetName val="CAD 2024 BUDGET"/>
      <sheetName val="AVIATION 2024"/>
      <sheetName val="fuels volume"/>
      <sheetName val="RETURN ON EQUITY"/>
      <sheetName val="ACCOUNTS RECVBLE-TUROVER"/>
      <sheetName val="AVERAGE COLLECTION PERIOD"/>
      <sheetName val="RETURN ON ASSETS"/>
      <sheetName val="ACCNTS PAYABLE TUROVER RATIO"/>
      <sheetName val="CURRENT RATIO"/>
      <sheetName val="PROFIT TREND"/>
      <sheetName val="Sheet4"/>
      <sheetName val="RETURN ON ASSET"/>
      <sheetName val="Sheet10"/>
      <sheetName val="Sheet8"/>
      <sheetName val="MARGIN 2023 to Bortey"/>
      <sheetName val="GROSS PROFIT MARGIN"/>
      <sheetName val="EFFICIENCY"/>
      <sheetName val="GROSS PROFIT MARGIN 2022"/>
      <sheetName val="AVERAGE RECEIVABLE RATIO"/>
      <sheetName val="DAYS ACCOUNTS PAYABLE"/>
      <sheetName val="HSSE VEHICLES"/>
      <sheetName val="THIRD QTR RESULTS"/>
      <sheetName val="CAD BUDGET2"/>
      <sheetName val="Admin RECURRENT"/>
      <sheetName val="Summary 2022 Recur Exp"/>
      <sheetName val="SS 2022 BUDGET1"/>
      <sheetName val="SS 2022 BUDGET"/>
      <sheetName val="SS BUDGET"/>
      <sheetName val="ADMIN BUDGET 2022"/>
      <sheetName val="CAD BGT 2O22"/>
      <sheetName val="CAD BUDGET 22"/>
      <sheetName val="AVIATION"/>
      <sheetName val="BITUMEN"/>
      <sheetName val="AVIATION (2)"/>
      <sheetName val="Chart1"/>
      <sheetName val="Maintenance 2022"/>
      <sheetName val="FUEL MKT BGT 2022"/>
      <sheetName val="Distribution 2022"/>
      <sheetName val="CAD"/>
      <sheetName val="HSSE RECURRENT BUDGET 2022"/>
      <sheetName val="TSP CAPEX (2)"/>
      <sheetName val="HSSE RECURRENT BUDGET 2021"/>
      <sheetName val="NET PROFIT PERCENT"/>
      <sheetName val="Profitabilty"/>
      <sheetName val="AVG COLLTN PERIOD"/>
      <sheetName val="2021 Maintenance"/>
      <sheetName val="2021 ESTATE CAPITAL EXPENDITURE"/>
      <sheetName val="Sheet2"/>
      <sheetName val="ADMIN 2021 BUDGET"/>
      <sheetName val="2021 Distribution"/>
      <sheetName val="FUELS VOLUME 2025"/>
      <sheetName val="Sheet6"/>
      <sheetName val="Sheet7"/>
      <sheetName val="Sheet1"/>
      <sheetName val="2020 Recurrent Expenses"/>
      <sheetName val="2020 CAPEX"/>
      <sheetName val="2021 ESTATE CAPITAL EXPENDI (2"/>
      <sheetName val="MAINTENANCE2"/>
      <sheetName val="HSSE RECURRENT BUDGET 2020"/>
      <sheetName val="SAAS"/>
      <sheetName val="Sheet3"/>
      <sheetName val="Aviation F"/>
      <sheetName val="ADMIN 2020 BUDGET"/>
      <sheetName val="AVIATION KIT"/>
      <sheetName val="2020 Fcailities Budget_CAPEX"/>
      <sheetName val="MAINTENANCE"/>
      <sheetName val="DISTRIBUTION"/>
      <sheetName val="Marketing Budget 2020"/>
      <sheetName val="CA&amp;MK"/>
      <sheetName val="2019 H1 INDUSTRY"/>
      <sheetName val="2018 H1 INDUSTRY"/>
      <sheetName val="ATK Details"/>
    </sheetNames>
    <sheetDataSet>
      <sheetData sheetId="0"/>
      <sheetData sheetId="1"/>
      <sheetData sheetId="2"/>
      <sheetData sheetId="3"/>
      <sheetData sheetId="4">
        <row r="203">
          <cell r="B203">
            <v>12</v>
          </cell>
        </row>
      </sheetData>
      <sheetData sheetId="5"/>
      <sheetData sheetId="6">
        <row r="2">
          <cell r="H2">
            <v>18104153.719999999</v>
          </cell>
        </row>
      </sheetData>
      <sheetData sheetId="7"/>
      <sheetData sheetId="8">
        <row r="63">
          <cell r="J63">
            <v>352000</v>
          </cell>
        </row>
      </sheetData>
      <sheetData sheetId="9"/>
      <sheetData sheetId="10">
        <row r="111">
          <cell r="C111">
            <v>7143335.3816</v>
          </cell>
        </row>
      </sheetData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 refreshError="1"/>
      <sheetData sheetId="54" refreshError="1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URRENT EXPENDITURE-OPS"/>
      <sheetName val="RECURRENT EXPENDITURE-ORIGINAL"/>
      <sheetName val="RECURRENT EXPENDITURE-HR"/>
      <sheetName val="RECURRENT EXPENDITURE-ESTATE"/>
      <sheetName val="RECURRENT EXP-PROCUREMENT"/>
      <sheetName val="RECURRENT EXPENDITURE-HSSE-"/>
      <sheetName val="RECURRENT EXPENDITURE-LEGAL"/>
      <sheetName val="RECURRENT EXPENDITURE-GRP CEOMD"/>
      <sheetName val="RECURRENT EXPENDITURE-RISK"/>
      <sheetName val="RECURRENT EXPENDITURE-RESEARCH"/>
      <sheetName val="RECURRENT EXPENDITURE-NON FUELS"/>
      <sheetName val="RECURRENT EXPENDITURE-IT"/>
      <sheetName val="RECURRENT EXPENDITURE-BDU"/>
      <sheetName val="RECURRENT EXPENDITURE-MKTING"/>
      <sheetName val="RECURRENT EXPENDITURE-COO"/>
      <sheetName val="RECURRENT EXPENDITURE-TSPM"/>
      <sheetName val="RECURRENT EXPENDITURE TSP"/>
      <sheetName val="Departments Codes"/>
      <sheetName val="CHART SHEET"/>
      <sheetName val="RECURRENT EXPENDITURE-CIA"/>
      <sheetName val="RECURRENT EXPENDITURE-FINANCE"/>
      <sheetName val="SAMPLE"/>
      <sheetName val="TRAINING BREAKDOWN"/>
      <sheetName val="CAPITAL BUDGE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9222B-BE82-4BEB-843E-C9EE7EAD312F}">
  <sheetPr>
    <tabColor rgb="FFFF0000"/>
  </sheetPr>
  <dimension ref="B1:V284"/>
  <sheetViews>
    <sheetView tabSelected="1" topLeftCell="B1" workbookViewId="0">
      <pane xSplit="2" ySplit="5" topLeftCell="D138" activePane="bottomRight" state="frozen"/>
      <selection pane="topRight" activeCell="D1" sqref="D1"/>
      <selection pane="bottomLeft" activeCell="B5" sqref="B5"/>
      <selection pane="bottomRight" activeCell="G12" sqref="G12"/>
    </sheetView>
  </sheetViews>
  <sheetFormatPr defaultColWidth="8.86328125" defaultRowHeight="14.25"/>
  <cols>
    <col min="1" max="1" width="8.86328125" style="3"/>
    <col min="2" max="2" width="37" style="1" bestFit="1" customWidth="1"/>
    <col min="3" max="3" width="37" style="1" customWidth="1"/>
    <col min="4" max="16" width="11.73046875" style="3" bestFit="1" customWidth="1"/>
    <col min="17" max="17" width="12.265625" style="3" bestFit="1" customWidth="1"/>
    <col min="18" max="18" width="15" style="3" bestFit="1" customWidth="1"/>
    <col min="19" max="19" width="11.73046875" style="3" bestFit="1" customWidth="1"/>
    <col min="20" max="20" width="21.1328125" style="3" bestFit="1" customWidth="1"/>
    <col min="21" max="22" width="11.73046875" style="3" bestFit="1" customWidth="1"/>
    <col min="23" max="16384" width="8.86328125" style="3"/>
  </cols>
  <sheetData>
    <row r="1" spans="2:22"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  <c r="I1" s="2" t="s">
        <v>5</v>
      </c>
      <c r="J1" s="2" t="s">
        <v>6</v>
      </c>
      <c r="K1" s="2" t="s">
        <v>7</v>
      </c>
      <c r="L1" s="2" t="s">
        <v>8</v>
      </c>
      <c r="M1" s="2" t="s">
        <v>9</v>
      </c>
      <c r="N1" s="2" t="s">
        <v>10</v>
      </c>
      <c r="O1" s="2" t="s">
        <v>11</v>
      </c>
      <c r="P1" s="2" t="s">
        <v>12</v>
      </c>
      <c r="Q1" s="2" t="s">
        <v>13</v>
      </c>
      <c r="R1" s="2" t="s">
        <v>14</v>
      </c>
      <c r="S1" s="2" t="s">
        <v>15</v>
      </c>
      <c r="T1" s="2" t="s">
        <v>16</v>
      </c>
      <c r="U1" s="2" t="s">
        <v>17</v>
      </c>
      <c r="V1" s="3" t="s">
        <v>18</v>
      </c>
    </row>
    <row r="2" spans="2:22">
      <c r="B2" s="4"/>
      <c r="C2" s="4"/>
      <c r="D2" s="5" t="s">
        <v>19</v>
      </c>
      <c r="E2" s="6" t="s">
        <v>20</v>
      </c>
      <c r="F2" s="5" t="s">
        <v>21</v>
      </c>
      <c r="G2" s="5" t="s">
        <v>22</v>
      </c>
      <c r="H2" s="6" t="s">
        <v>23</v>
      </c>
      <c r="I2" s="6" t="s">
        <v>24</v>
      </c>
      <c r="J2" s="6" t="s">
        <v>25</v>
      </c>
      <c r="K2" s="6" t="s">
        <v>26</v>
      </c>
      <c r="L2" s="6">
        <v>10001</v>
      </c>
      <c r="M2" s="6" t="s">
        <v>27</v>
      </c>
      <c r="N2" s="6" t="s">
        <v>28</v>
      </c>
      <c r="O2" s="6">
        <v>11001</v>
      </c>
      <c r="P2" s="5">
        <v>12001</v>
      </c>
      <c r="Q2" s="6" t="s">
        <v>29</v>
      </c>
      <c r="R2" s="6" t="s">
        <v>30</v>
      </c>
      <c r="S2" s="6" t="s">
        <v>31</v>
      </c>
      <c r="T2" s="6" t="s">
        <v>32</v>
      </c>
      <c r="U2" s="6" t="s">
        <v>33</v>
      </c>
      <c r="V2" s="6" t="s">
        <v>34</v>
      </c>
    </row>
    <row r="3" spans="2:22">
      <c r="B3" s="7" t="s">
        <v>35</v>
      </c>
      <c r="C3" s="7" t="s">
        <v>36</v>
      </c>
    </row>
    <row r="4" spans="2:22">
      <c r="B4" s="8" t="s">
        <v>37</v>
      </c>
      <c r="C4" s="7"/>
    </row>
    <row r="5" spans="2:22">
      <c r="B5" s="9">
        <v>62608</v>
      </c>
      <c r="C5" s="10" t="s">
        <v>38</v>
      </c>
      <c r="G5" s="11">
        <v>62608</v>
      </c>
      <c r="K5" s="3" t="s">
        <v>39</v>
      </c>
    </row>
    <row r="6" spans="2:22" s="14" customFormat="1">
      <c r="B6" s="12">
        <v>62609</v>
      </c>
      <c r="C6" s="13" t="s">
        <v>40</v>
      </c>
      <c r="G6" s="11">
        <v>62609</v>
      </c>
    </row>
    <row r="7" spans="2:22">
      <c r="B7" s="9">
        <v>62610</v>
      </c>
      <c r="C7" s="10" t="s">
        <v>41</v>
      </c>
      <c r="G7" s="11">
        <v>62610</v>
      </c>
    </row>
    <row r="8" spans="2:22">
      <c r="B8" s="9">
        <v>62603</v>
      </c>
      <c r="C8" s="10" t="s">
        <v>42</v>
      </c>
      <c r="G8" s="11">
        <v>62603</v>
      </c>
    </row>
    <row r="9" spans="2:22">
      <c r="B9" s="9">
        <v>62602</v>
      </c>
      <c r="C9" s="10" t="s">
        <v>43</v>
      </c>
      <c r="G9" s="11">
        <v>62602</v>
      </c>
    </row>
    <row r="10" spans="2:22">
      <c r="B10" s="9">
        <v>62601</v>
      </c>
      <c r="C10" s="10" t="s">
        <v>44</v>
      </c>
      <c r="G10" s="11">
        <v>62601</v>
      </c>
    </row>
    <row r="11" spans="2:22">
      <c r="B11" s="9">
        <v>62604</v>
      </c>
      <c r="C11" s="10" t="s">
        <v>45</v>
      </c>
      <c r="G11" s="11">
        <v>62604</v>
      </c>
    </row>
    <row r="12" spans="2:22">
      <c r="B12" s="9">
        <v>62612</v>
      </c>
      <c r="C12" s="10" t="s">
        <v>46</v>
      </c>
      <c r="D12" s="11" t="str">
        <f>TRIM($B12)&amp;"-"&amp;TEXT(D$2,"00000")</f>
        <v>62612-01001</v>
      </c>
      <c r="E12" s="11" t="str">
        <f>TRIM($B12)&amp;"-"&amp;TEXT(E$2,"00000")</f>
        <v>62612-09001</v>
      </c>
      <c r="F12" s="11" t="str">
        <f>TRIM($B12)&amp;"-"&amp;TEXT(F$2,"00000")</f>
        <v>62612-05001</v>
      </c>
      <c r="G12" s="11" t="str">
        <f t="shared" ref="G12:V12" si="0">TRIM($B12)&amp;"-"&amp;TEXT(G$2,"00000")</f>
        <v>62612-07000</v>
      </c>
      <c r="H12" s="11" t="str">
        <f t="shared" si="0"/>
        <v>62612-02001</v>
      </c>
      <c r="I12" s="11" t="str">
        <f t="shared" si="0"/>
        <v>62612-01002</v>
      </c>
      <c r="J12" s="11" t="str">
        <f t="shared" si="0"/>
        <v>62612-01003</v>
      </c>
      <c r="K12" s="11" t="str">
        <f t="shared" si="0"/>
        <v>62612-03001</v>
      </c>
      <c r="L12" s="11" t="str">
        <f t="shared" si="0"/>
        <v>62612-10001</v>
      </c>
      <c r="M12" s="11" t="str">
        <f t="shared" si="0"/>
        <v>62612-01004</v>
      </c>
      <c r="N12" s="11" t="str">
        <f t="shared" si="0"/>
        <v>62612-01005</v>
      </c>
      <c r="O12" s="11" t="str">
        <f t="shared" si="0"/>
        <v>62612-11001</v>
      </c>
      <c r="P12" s="11" t="str">
        <f t="shared" si="0"/>
        <v>62612-12001</v>
      </c>
      <c r="Q12" s="11" t="str">
        <f t="shared" si="0"/>
        <v>62612-01007</v>
      </c>
      <c r="R12" s="11" t="str">
        <f t="shared" si="0"/>
        <v>62612-04001</v>
      </c>
      <c r="S12" s="11" t="str">
        <f t="shared" si="0"/>
        <v>62612-06001</v>
      </c>
      <c r="T12" s="11" t="str">
        <f t="shared" si="0"/>
        <v>62612-01006</v>
      </c>
      <c r="U12" s="11" t="str">
        <f t="shared" si="0"/>
        <v>62612-08001</v>
      </c>
      <c r="V12" s="11" t="str">
        <f t="shared" si="0"/>
        <v>62612-01008</v>
      </c>
    </row>
    <row r="13" spans="2:22">
      <c r="B13" s="9"/>
      <c r="C13" s="10" t="s">
        <v>47</v>
      </c>
    </row>
    <row r="14" spans="2:22">
      <c r="B14" s="15" t="s">
        <v>48</v>
      </c>
      <c r="C14" s="16"/>
    </row>
    <row r="15" spans="2:22">
      <c r="B15" s="8"/>
      <c r="C15" s="10"/>
    </row>
    <row r="16" spans="2:22">
      <c r="B16" s="8" t="s">
        <v>49</v>
      </c>
      <c r="C16" s="10"/>
    </row>
    <row r="17" spans="2:22">
      <c r="B17" s="9">
        <v>62614</v>
      </c>
      <c r="C17" s="10" t="s">
        <v>50</v>
      </c>
      <c r="G17" s="11">
        <v>62614</v>
      </c>
    </row>
    <row r="18" spans="2:22">
      <c r="B18" s="9">
        <v>62778</v>
      </c>
      <c r="C18" s="17" t="s">
        <v>51</v>
      </c>
      <c r="D18" s="11" t="str">
        <f>TRIM($B18)&amp;"-"&amp;TEXT(D$2,"00000")</f>
        <v>62778-01001</v>
      </c>
      <c r="E18" s="11" t="str">
        <f>TRIM($B18)&amp;"-"&amp;TEXT(E$2,"00000")</f>
        <v>62778-09001</v>
      </c>
      <c r="F18" s="11" t="str">
        <f>TRIM($B18)&amp;"-"&amp;TEXT(F$2,"00000")</f>
        <v>62778-05001</v>
      </c>
      <c r="G18" s="11" t="str">
        <f>TRIM($B18)&amp;"-"&amp;TEXT(G$2,"00000")</f>
        <v>62778-07000</v>
      </c>
      <c r="H18" s="11" t="str">
        <f t="shared" ref="H18:V18" si="1">TRIM($B18)&amp;"-"&amp;TEXT(H$2,"00000")</f>
        <v>62778-02001</v>
      </c>
      <c r="I18" s="11" t="str">
        <f t="shared" si="1"/>
        <v>62778-01002</v>
      </c>
      <c r="J18" s="11" t="str">
        <f t="shared" si="1"/>
        <v>62778-01003</v>
      </c>
      <c r="K18" s="11" t="str">
        <f t="shared" si="1"/>
        <v>62778-03001</v>
      </c>
      <c r="L18" s="11" t="str">
        <f t="shared" si="1"/>
        <v>62778-10001</v>
      </c>
      <c r="M18" s="11" t="str">
        <f t="shared" si="1"/>
        <v>62778-01004</v>
      </c>
      <c r="N18" s="11" t="str">
        <f t="shared" si="1"/>
        <v>62778-01005</v>
      </c>
      <c r="O18" s="11" t="str">
        <f t="shared" si="1"/>
        <v>62778-11001</v>
      </c>
      <c r="P18" s="11" t="str">
        <f t="shared" si="1"/>
        <v>62778-12001</v>
      </c>
      <c r="Q18" s="11" t="str">
        <f t="shared" si="1"/>
        <v>62778-01007</v>
      </c>
      <c r="R18" s="11" t="str">
        <f t="shared" si="1"/>
        <v>62778-04001</v>
      </c>
      <c r="S18" s="11" t="str">
        <f t="shared" si="1"/>
        <v>62778-06001</v>
      </c>
      <c r="T18" s="11" t="str">
        <f t="shared" si="1"/>
        <v>62778-01006</v>
      </c>
      <c r="U18" s="11" t="str">
        <f t="shared" si="1"/>
        <v>62778-08001</v>
      </c>
      <c r="V18" s="11" t="str">
        <f t="shared" si="1"/>
        <v>62778-01008</v>
      </c>
    </row>
    <row r="19" spans="2:22">
      <c r="B19" s="9"/>
      <c r="C19" s="17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</row>
    <row r="20" spans="2:22" ht="14.25" customHeight="1">
      <c r="B20" s="9">
        <v>62779</v>
      </c>
      <c r="C20" s="10" t="s">
        <v>52</v>
      </c>
      <c r="D20" s="11" t="str">
        <f t="shared" ref="D20:V20" si="2">TRIM($B20)&amp;"-"&amp;TEXT(D$2,"00000")</f>
        <v>62779-01001</v>
      </c>
      <c r="E20" s="11" t="str">
        <f t="shared" si="2"/>
        <v>62779-09001</v>
      </c>
      <c r="F20" s="11" t="str">
        <f t="shared" si="2"/>
        <v>62779-05001</v>
      </c>
      <c r="G20" s="11" t="str">
        <f t="shared" si="2"/>
        <v>62779-07000</v>
      </c>
      <c r="H20" s="11" t="str">
        <f t="shared" si="2"/>
        <v>62779-02001</v>
      </c>
      <c r="I20" s="11" t="str">
        <f t="shared" si="2"/>
        <v>62779-01002</v>
      </c>
      <c r="J20" s="11" t="str">
        <f t="shared" si="2"/>
        <v>62779-01003</v>
      </c>
      <c r="K20" s="11" t="str">
        <f t="shared" si="2"/>
        <v>62779-03001</v>
      </c>
      <c r="L20" s="11" t="str">
        <f t="shared" si="2"/>
        <v>62779-10001</v>
      </c>
      <c r="M20" s="11" t="str">
        <f t="shared" si="2"/>
        <v>62779-01004</v>
      </c>
      <c r="N20" s="11" t="str">
        <f t="shared" si="2"/>
        <v>62779-01005</v>
      </c>
      <c r="O20" s="11" t="str">
        <f t="shared" si="2"/>
        <v>62779-11001</v>
      </c>
      <c r="P20" s="11" t="str">
        <f t="shared" si="2"/>
        <v>62779-12001</v>
      </c>
      <c r="Q20" s="11" t="str">
        <f t="shared" si="2"/>
        <v>62779-01007</v>
      </c>
      <c r="R20" s="11" t="str">
        <f t="shared" si="2"/>
        <v>62779-04001</v>
      </c>
      <c r="S20" s="11" t="str">
        <f t="shared" si="2"/>
        <v>62779-06001</v>
      </c>
      <c r="T20" s="11" t="str">
        <f t="shared" si="2"/>
        <v>62779-01006</v>
      </c>
      <c r="U20" s="11" t="str">
        <f t="shared" si="2"/>
        <v>62779-08001</v>
      </c>
      <c r="V20" s="11" t="str">
        <f t="shared" si="2"/>
        <v>62779-01008</v>
      </c>
    </row>
    <row r="21" spans="2:22">
      <c r="B21" s="9"/>
      <c r="C21" s="19" t="s">
        <v>53</v>
      </c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</row>
    <row r="22" spans="2:22">
      <c r="B22" s="9"/>
      <c r="C22" s="19" t="s">
        <v>54</v>
      </c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</row>
    <row r="23" spans="2:22">
      <c r="B23" s="9"/>
      <c r="C23" s="19" t="s">
        <v>55</v>
      </c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</row>
    <row r="24" spans="2:22">
      <c r="B24" s="9"/>
      <c r="C24" s="19" t="s">
        <v>56</v>
      </c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</row>
    <row r="25" spans="2:22">
      <c r="B25" s="9"/>
      <c r="C25" s="19" t="s">
        <v>57</v>
      </c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</row>
    <row r="26" spans="2:22">
      <c r="B26" s="9"/>
      <c r="C26" s="19" t="s">
        <v>58</v>
      </c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</row>
    <row r="27" spans="2:22">
      <c r="B27" s="9"/>
      <c r="C27" s="19" t="s">
        <v>59</v>
      </c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</row>
    <row r="28" spans="2:22">
      <c r="B28" s="9"/>
      <c r="C28" s="10"/>
    </row>
    <row r="29" spans="2:22">
      <c r="B29" s="9"/>
      <c r="C29" s="10" t="s">
        <v>60</v>
      </c>
    </row>
    <row r="30" spans="2:22">
      <c r="B30" s="9"/>
      <c r="C30" s="10"/>
    </row>
    <row r="31" spans="2:22">
      <c r="B31" s="15" t="s">
        <v>48</v>
      </c>
      <c r="C31" s="16"/>
    </row>
    <row r="32" spans="2:22">
      <c r="B32" s="20"/>
      <c r="C32" s="10"/>
    </row>
    <row r="33" spans="2:22">
      <c r="B33" s="8" t="s">
        <v>61</v>
      </c>
      <c r="C33" s="10"/>
    </row>
    <row r="34" spans="2:22">
      <c r="B34" s="9" t="s">
        <v>62</v>
      </c>
      <c r="C34" s="10" t="s">
        <v>63</v>
      </c>
      <c r="R34" s="21" t="str">
        <f>TRIM($B34)&amp;"-"&amp;TEXT(R$2,"00000")</f>
        <v>61805-04001</v>
      </c>
      <c r="V34" s="21" t="str">
        <f>TRIM($B34)&amp;"-"&amp;TEXT(V$2,"00000")</f>
        <v>61805-01008</v>
      </c>
    </row>
    <row r="35" spans="2:22">
      <c r="B35" s="9">
        <v>62606</v>
      </c>
      <c r="C35" s="10" t="s">
        <v>64</v>
      </c>
      <c r="D35" s="21" t="str">
        <f>TRIM($B35)&amp;"-"&amp;TEXT(D$2,"00000")</f>
        <v>62606-01001</v>
      </c>
      <c r="E35" s="21" t="str">
        <f>TRIM($B35)&amp;"-"&amp;TEXT(E$2,"00000")</f>
        <v>62606-09001</v>
      </c>
      <c r="F35" s="21" t="str">
        <f>TRIM($B35)&amp;"-"&amp;TEXT(F$2,"00000")</f>
        <v>62606-05001</v>
      </c>
      <c r="G35" s="21" t="str">
        <f>TRIM($B35)&amp;"-"&amp;TEXT(G$2,"00000")</f>
        <v>62606-07000</v>
      </c>
      <c r="I35" s="11" t="str">
        <f>TRIM($B35)&amp;"-"&amp;TEXT(I$2,"00000")</f>
        <v>62606-01002</v>
      </c>
      <c r="J35" s="11" t="str">
        <f>TRIM($B35)&amp;"-"&amp;TEXT(J$2,"00000")</f>
        <v>62606-01003</v>
      </c>
    </row>
    <row r="36" spans="2:22">
      <c r="B36" s="22">
        <v>62607</v>
      </c>
      <c r="C36" s="10" t="s">
        <v>65</v>
      </c>
      <c r="G36" s="11">
        <v>62607</v>
      </c>
    </row>
    <row r="37" spans="2:22">
      <c r="B37" s="22">
        <v>62611</v>
      </c>
      <c r="C37" s="10" t="s">
        <v>66</v>
      </c>
      <c r="G37" s="11">
        <v>62611</v>
      </c>
    </row>
    <row r="38" spans="2:22">
      <c r="B38" s="23">
        <v>62613</v>
      </c>
      <c r="C38" s="24" t="s">
        <v>67</v>
      </c>
      <c r="D38" s="11" t="str">
        <f>TRIM($B38)&amp;"-"&amp;TEXT(D$2,"00000")</f>
        <v>62613-01001</v>
      </c>
      <c r="E38" s="11" t="str">
        <f>TRIM($B38)&amp;"-"&amp;TEXT(E$2,"00000")</f>
        <v>62613-09001</v>
      </c>
      <c r="F38" s="11" t="str">
        <f>TRIM($B38)&amp;"-"&amp;TEXT(F$2,"00000")</f>
        <v>62613-05001</v>
      </c>
      <c r="G38" s="11" t="str">
        <f>TRIM($B38)&amp;"-"&amp;TEXT(G$2,"00000")</f>
        <v>62613-07000</v>
      </c>
      <c r="H38" s="11" t="str">
        <f t="shared" ref="H38:V38" si="3">TRIM($B38)&amp;"-"&amp;TEXT(H$2,"00000")</f>
        <v>62613-02001</v>
      </c>
      <c r="I38" s="11" t="str">
        <f t="shared" si="3"/>
        <v>62613-01002</v>
      </c>
      <c r="J38" s="11" t="str">
        <f t="shared" si="3"/>
        <v>62613-01003</v>
      </c>
      <c r="K38" s="11" t="str">
        <f t="shared" si="3"/>
        <v>62613-03001</v>
      </c>
      <c r="L38" s="11" t="str">
        <f t="shared" si="3"/>
        <v>62613-10001</v>
      </c>
      <c r="M38" s="11" t="str">
        <f t="shared" si="3"/>
        <v>62613-01004</v>
      </c>
      <c r="N38" s="11" t="str">
        <f t="shared" si="3"/>
        <v>62613-01005</v>
      </c>
      <c r="O38" s="11" t="str">
        <f t="shared" si="3"/>
        <v>62613-11001</v>
      </c>
      <c r="P38" s="11" t="str">
        <f t="shared" si="3"/>
        <v>62613-12001</v>
      </c>
      <c r="Q38" s="11" t="str">
        <f t="shared" si="3"/>
        <v>62613-01007</v>
      </c>
      <c r="R38" s="11" t="str">
        <f t="shared" si="3"/>
        <v>62613-04001</v>
      </c>
      <c r="S38" s="11" t="str">
        <f t="shared" si="3"/>
        <v>62613-06001</v>
      </c>
      <c r="T38" s="11" t="str">
        <f t="shared" si="3"/>
        <v>62613-01006</v>
      </c>
      <c r="U38" s="11" t="str">
        <f t="shared" si="3"/>
        <v>62613-08001</v>
      </c>
      <c r="V38" s="11" t="str">
        <f t="shared" si="3"/>
        <v>62613-01008</v>
      </c>
    </row>
    <row r="39" spans="2:22">
      <c r="B39" s="22" t="s">
        <v>68</v>
      </c>
      <c r="C39" s="10" t="s">
        <v>69</v>
      </c>
      <c r="G39" s="11" t="str">
        <f>TRIM($B39)&amp;"-"&amp;TEXT(G$2,"00000")</f>
        <v>62615-07000</v>
      </c>
      <c r="J39" s="11" t="str">
        <f>TRIM($B39)&amp;"-"&amp;TEXT(J$2,"00000")</f>
        <v>62615-01003</v>
      </c>
      <c r="K39" s="11" t="str">
        <f>TRIM($B39)&amp;"-"&amp;TEXT(K$2,"00000")</f>
        <v>62615-03001</v>
      </c>
      <c r="O39" s="11" t="str">
        <f>TRIM($B39)&amp;"-"&amp;TEXT(O$2,"00000")</f>
        <v>62615-11001</v>
      </c>
      <c r="P39" s="11" t="str">
        <f>TRIM($B39)&amp;"-"&amp;TEXT(P$2,"00000")</f>
        <v>62615-12001</v>
      </c>
    </row>
    <row r="40" spans="2:22">
      <c r="B40" s="22">
        <v>62616</v>
      </c>
      <c r="C40" s="10" t="s">
        <v>70</v>
      </c>
      <c r="D40" s="11" t="str">
        <f>TRIM($B40)&amp;"-"&amp;TEXT(D$2,"00000")</f>
        <v>62616-01001</v>
      </c>
      <c r="E40" s="11" t="str">
        <f>TRIM($B40)&amp;"-"&amp;TEXT(E$2,"00000")</f>
        <v>62616-09001</v>
      </c>
      <c r="F40" s="11" t="str">
        <f>TRIM($B40)&amp;"-"&amp;TEXT(F$2,"00000")</f>
        <v>62616-05001</v>
      </c>
      <c r="G40" s="11" t="str">
        <f>TRIM($B40)&amp;"-"&amp;TEXT(G$2,"00000")</f>
        <v>62616-07000</v>
      </c>
      <c r="H40" s="11" t="str">
        <f>TRIM($B40)&amp;"-"&amp;TEXT(H$2,"00000")</f>
        <v>62616-02001</v>
      </c>
      <c r="I40" s="11" t="str">
        <f>TRIM($B40)&amp;"-"&amp;TEXT(I$2,"00000")</f>
        <v>62616-01002</v>
      </c>
      <c r="J40" s="11" t="str">
        <f>TRIM($B40)&amp;"-"&amp;TEXT(J$2,"00000")</f>
        <v>62616-01003</v>
      </c>
      <c r="K40" s="11" t="str">
        <f>TRIM($B40)&amp;"-"&amp;TEXT(K$2,"00000")</f>
        <v>62616-03001</v>
      </c>
      <c r="L40" s="11" t="str">
        <f>TRIM($B40)&amp;"-"&amp;TEXT(L$2,"00000")</f>
        <v>62616-10001</v>
      </c>
      <c r="M40" s="11" t="str">
        <f>TRIM($B40)&amp;"-"&amp;TEXT(M$2,"00000")</f>
        <v>62616-01004</v>
      </c>
      <c r="N40" s="11" t="str">
        <f>TRIM($B40)&amp;"-"&amp;TEXT(N$2,"00000")</f>
        <v>62616-01005</v>
      </c>
      <c r="O40" s="11" t="str">
        <f>TRIM($B40)&amp;"-"&amp;TEXT(O$2,"00000")</f>
        <v>62616-11001</v>
      </c>
      <c r="P40" s="11" t="str">
        <f>TRIM($B40)&amp;"-"&amp;TEXT(P$2,"00000")</f>
        <v>62616-12001</v>
      </c>
      <c r="Q40" s="11" t="str">
        <f t="shared" ref="Q40:V40" si="4">TRIM($B40)&amp;"-"&amp;TEXT(Q$2,"00000")</f>
        <v>62616-01007</v>
      </c>
      <c r="R40" s="11" t="str">
        <f t="shared" si="4"/>
        <v>62616-04001</v>
      </c>
      <c r="S40" s="11" t="str">
        <f t="shared" si="4"/>
        <v>62616-06001</v>
      </c>
      <c r="T40" s="11" t="str">
        <f t="shared" si="4"/>
        <v>62616-01006</v>
      </c>
      <c r="U40" s="11" t="str">
        <f t="shared" si="4"/>
        <v>62616-08001</v>
      </c>
      <c r="V40" s="11" t="str">
        <f t="shared" si="4"/>
        <v>62616-01008</v>
      </c>
    </row>
    <row r="41" spans="2:22">
      <c r="B41" s="22"/>
      <c r="C41" s="10" t="s">
        <v>71</v>
      </c>
      <c r="G41" s="18"/>
    </row>
    <row r="42" spans="2:22" ht="25.5">
      <c r="B42" s="22"/>
      <c r="C42" s="10" t="s">
        <v>72</v>
      </c>
      <c r="G42" s="18"/>
    </row>
    <row r="43" spans="2:22">
      <c r="B43" s="22"/>
      <c r="C43" s="24" t="s">
        <v>73</v>
      </c>
    </row>
    <row r="44" spans="2:22">
      <c r="B44" s="22">
        <v>62617</v>
      </c>
      <c r="C44" s="10" t="s">
        <v>74</v>
      </c>
      <c r="G44" s="11">
        <v>62617</v>
      </c>
    </row>
    <row r="45" spans="2:22">
      <c r="B45" s="22">
        <v>62619</v>
      </c>
      <c r="C45" s="10" t="s">
        <v>75</v>
      </c>
    </row>
    <row r="46" spans="2:22">
      <c r="B46" s="22">
        <v>62620</v>
      </c>
      <c r="C46" s="10" t="s">
        <v>76</v>
      </c>
      <c r="G46" s="11" t="str">
        <f>TRIM($B46)&amp;"-"&amp;TEXT(G$2,"00000")</f>
        <v>62620-07000</v>
      </c>
      <c r="J46" s="11" t="str">
        <f>TRIM($B46)&amp;"-"&amp;TEXT(J$2,"00000")</f>
        <v>62620-01003</v>
      </c>
    </row>
    <row r="47" spans="2:22">
      <c r="B47" s="22">
        <v>62723</v>
      </c>
      <c r="C47" s="10" t="s">
        <v>77</v>
      </c>
      <c r="G47" s="11">
        <v>62723</v>
      </c>
    </row>
    <row r="48" spans="2:22">
      <c r="B48" s="22">
        <v>62724</v>
      </c>
      <c r="C48" s="10" t="s">
        <v>78</v>
      </c>
      <c r="D48" s="11" t="str">
        <f t="shared" ref="D48:S49" si="5">TRIM($B48)&amp;"-"&amp;TEXT(D$2,"00000")</f>
        <v>62724-01001</v>
      </c>
      <c r="E48" s="11" t="str">
        <f t="shared" si="5"/>
        <v>62724-09001</v>
      </c>
      <c r="F48" s="11" t="str">
        <f t="shared" si="5"/>
        <v>62724-05001</v>
      </c>
      <c r="G48" s="11" t="str">
        <f t="shared" si="5"/>
        <v>62724-07000</v>
      </c>
      <c r="H48" s="11" t="str">
        <f t="shared" si="5"/>
        <v>62724-02001</v>
      </c>
      <c r="I48" s="11" t="str">
        <f t="shared" si="5"/>
        <v>62724-01002</v>
      </c>
      <c r="J48" s="11" t="str">
        <f t="shared" si="5"/>
        <v>62724-01003</v>
      </c>
      <c r="K48" s="11" t="str">
        <f t="shared" si="5"/>
        <v>62724-03001</v>
      </c>
      <c r="L48" s="11" t="str">
        <f t="shared" si="5"/>
        <v>62724-10001</v>
      </c>
      <c r="M48" s="11" t="str">
        <f t="shared" si="5"/>
        <v>62724-01004</v>
      </c>
      <c r="N48" s="11" t="str">
        <f t="shared" si="5"/>
        <v>62724-01005</v>
      </c>
      <c r="O48" s="11" t="str">
        <f t="shared" si="5"/>
        <v>62724-11001</v>
      </c>
      <c r="P48" s="11" t="str">
        <f t="shared" si="5"/>
        <v>62724-12001</v>
      </c>
      <c r="Q48" s="11" t="str">
        <f t="shared" si="5"/>
        <v>62724-01007</v>
      </c>
      <c r="R48" s="11" t="str">
        <f t="shared" si="5"/>
        <v>62724-04001</v>
      </c>
      <c r="S48" s="11" t="str">
        <f t="shared" si="5"/>
        <v>62724-06001</v>
      </c>
      <c r="T48" s="11" t="str">
        <f t="shared" ref="T48:AH49" si="6">TRIM($B48)&amp;"-"&amp;TEXT(T$2,"00000")</f>
        <v>62724-01006</v>
      </c>
      <c r="U48" s="11" t="str">
        <f t="shared" si="6"/>
        <v>62724-08001</v>
      </c>
      <c r="V48" s="11" t="str">
        <f t="shared" si="6"/>
        <v>62724-01008</v>
      </c>
    </row>
    <row r="49" spans="2:22">
      <c r="B49" s="22" t="s">
        <v>79</v>
      </c>
      <c r="C49" s="25" t="s">
        <v>80</v>
      </c>
      <c r="D49" s="11" t="str">
        <f t="shared" si="5"/>
        <v>62725-01001</v>
      </c>
      <c r="E49" s="11" t="str">
        <f t="shared" si="5"/>
        <v>62725-09001</v>
      </c>
      <c r="F49" s="11" t="str">
        <f t="shared" si="5"/>
        <v>62725-05001</v>
      </c>
      <c r="G49" s="11" t="str">
        <f t="shared" si="5"/>
        <v>62725-07000</v>
      </c>
      <c r="H49" s="11" t="str">
        <f t="shared" si="5"/>
        <v>62725-02001</v>
      </c>
      <c r="I49" s="11" t="str">
        <f t="shared" si="5"/>
        <v>62725-01002</v>
      </c>
      <c r="J49" s="11" t="str">
        <f t="shared" si="5"/>
        <v>62725-01003</v>
      </c>
      <c r="K49" s="11" t="str">
        <f t="shared" si="5"/>
        <v>62725-03001</v>
      </c>
      <c r="L49" s="11" t="str">
        <f t="shared" si="5"/>
        <v>62725-10001</v>
      </c>
      <c r="M49" s="11" t="str">
        <f t="shared" si="5"/>
        <v>62725-01004</v>
      </c>
      <c r="N49" s="11" t="str">
        <f t="shared" si="5"/>
        <v>62725-01005</v>
      </c>
      <c r="O49" s="11" t="str">
        <f t="shared" si="5"/>
        <v>62725-11001</v>
      </c>
      <c r="P49" s="11" t="str">
        <f t="shared" si="5"/>
        <v>62725-12001</v>
      </c>
      <c r="Q49" s="11" t="str">
        <f t="shared" si="5"/>
        <v>62725-01007</v>
      </c>
      <c r="R49" s="11" t="str">
        <f t="shared" si="5"/>
        <v>62725-04001</v>
      </c>
      <c r="S49" s="11" t="str">
        <f t="shared" si="5"/>
        <v>62725-06001</v>
      </c>
      <c r="T49" s="11" t="str">
        <f t="shared" si="6"/>
        <v>62725-01006</v>
      </c>
      <c r="U49" s="11" t="str">
        <f t="shared" si="6"/>
        <v>62725-08001</v>
      </c>
      <c r="V49" s="11" t="str">
        <f t="shared" si="6"/>
        <v>62725-01008</v>
      </c>
    </row>
    <row r="50" spans="2:22">
      <c r="B50" s="15" t="s">
        <v>48</v>
      </c>
      <c r="C50" s="16"/>
    </row>
    <row r="51" spans="2:22">
      <c r="B51" s="8"/>
      <c r="C51" s="24"/>
    </row>
    <row r="52" spans="2:22">
      <c r="B52" s="8" t="s">
        <v>81</v>
      </c>
      <c r="C52" s="10"/>
    </row>
    <row r="53" spans="2:22">
      <c r="B53" s="26">
        <v>61603</v>
      </c>
      <c r="C53" s="27" t="s">
        <v>82</v>
      </c>
      <c r="S53" s="11">
        <v>61603</v>
      </c>
    </row>
    <row r="54" spans="2:22">
      <c r="B54" s="28" t="s">
        <v>83</v>
      </c>
      <c r="C54" s="28" t="s">
        <v>84</v>
      </c>
      <c r="S54" s="29" t="s">
        <v>83</v>
      </c>
    </row>
    <row r="55" spans="2:22" ht="25.5">
      <c r="B55" s="26">
        <v>62202</v>
      </c>
      <c r="C55" s="27" t="s">
        <v>85</v>
      </c>
      <c r="S55" s="11">
        <v>62202</v>
      </c>
    </row>
    <row r="56" spans="2:22">
      <c r="B56" s="26">
        <v>62773</v>
      </c>
      <c r="C56" s="27" t="s">
        <v>86</v>
      </c>
      <c r="D56" s="11" t="str">
        <f t="shared" ref="D56:R56" si="7">TRIM($B56)&amp;"-"&amp;TEXT(D$2,"00000")</f>
        <v>62773-01001</v>
      </c>
      <c r="E56" s="11" t="str">
        <f t="shared" si="7"/>
        <v>62773-09001</v>
      </c>
      <c r="F56" s="11" t="str">
        <f t="shared" si="7"/>
        <v>62773-05001</v>
      </c>
      <c r="G56" s="11" t="str">
        <f t="shared" si="7"/>
        <v>62773-07000</v>
      </c>
      <c r="H56" s="11" t="str">
        <f t="shared" si="7"/>
        <v>62773-02001</v>
      </c>
      <c r="I56" s="11" t="str">
        <f t="shared" si="7"/>
        <v>62773-01002</v>
      </c>
      <c r="J56" s="11" t="str">
        <f t="shared" si="7"/>
        <v>62773-01003</v>
      </c>
      <c r="K56" s="11" t="str">
        <f t="shared" si="7"/>
        <v>62773-03001</v>
      </c>
      <c r="L56" s="11" t="str">
        <f t="shared" si="7"/>
        <v>62773-10001</v>
      </c>
      <c r="M56" s="11" t="str">
        <f t="shared" si="7"/>
        <v>62773-01004</v>
      </c>
      <c r="N56" s="11" t="str">
        <f t="shared" si="7"/>
        <v>62773-01005</v>
      </c>
      <c r="O56" s="11" t="str">
        <f t="shared" si="7"/>
        <v>62773-11001</v>
      </c>
      <c r="P56" s="11" t="str">
        <f t="shared" si="7"/>
        <v>62773-12001</v>
      </c>
      <c r="Q56" s="11" t="str">
        <f t="shared" si="7"/>
        <v>62773-01007</v>
      </c>
      <c r="R56" s="11" t="str">
        <f t="shared" si="7"/>
        <v>62773-04001</v>
      </c>
      <c r="S56" s="11" t="str">
        <f>TRIM($B56)&amp;"-"&amp;TEXT(S$2,"00000")</f>
        <v>62773-06001</v>
      </c>
      <c r="T56" s="11" t="str">
        <f>TRIM($B56)&amp;"-"&amp;TEXT(T$2,"00000")</f>
        <v>62773-01006</v>
      </c>
      <c r="U56" s="11" t="str">
        <f>TRIM($B56)&amp;"-"&amp;TEXT(U$2,"00000")</f>
        <v>62773-08001</v>
      </c>
      <c r="V56" s="11" t="str">
        <f>TRIM($B56)&amp;"-"&amp;TEXT(V$2,"00000")</f>
        <v>62773-01008</v>
      </c>
    </row>
    <row r="57" spans="2:22">
      <c r="B57" s="15" t="s">
        <v>48</v>
      </c>
      <c r="C57" s="16"/>
    </row>
    <row r="58" spans="2:22">
      <c r="B58" s="9"/>
      <c r="C58" s="10"/>
    </row>
    <row r="59" spans="2:22" ht="26.25">
      <c r="B59" s="8" t="s">
        <v>87</v>
      </c>
      <c r="C59" s="10"/>
    </row>
    <row r="60" spans="2:22">
      <c r="B60" s="9">
        <v>61604</v>
      </c>
      <c r="C60" s="10" t="s">
        <v>88</v>
      </c>
      <c r="H60" s="11">
        <v>61604</v>
      </c>
    </row>
    <row r="61" spans="2:22">
      <c r="B61" s="9">
        <v>61806</v>
      </c>
      <c r="C61" s="10" t="s">
        <v>89</v>
      </c>
      <c r="H61" s="11">
        <v>61806</v>
      </c>
    </row>
    <row r="62" spans="2:22">
      <c r="B62" s="9">
        <v>62722</v>
      </c>
      <c r="C62" s="10" t="s">
        <v>90</v>
      </c>
      <c r="H62" s="11">
        <v>62722</v>
      </c>
    </row>
    <row r="63" spans="2:22">
      <c r="B63" s="9">
        <v>62780</v>
      </c>
      <c r="C63" s="10" t="s">
        <v>91</v>
      </c>
      <c r="H63" s="11">
        <v>62780</v>
      </c>
    </row>
    <row r="64" spans="2:22">
      <c r="B64" s="15" t="s">
        <v>48</v>
      </c>
      <c r="C64" s="16"/>
    </row>
    <row r="65" spans="2:15">
      <c r="B65" s="20"/>
      <c r="C65" s="10"/>
    </row>
    <row r="66" spans="2:15">
      <c r="B66" s="8" t="s">
        <v>92</v>
      </c>
      <c r="C66" s="10"/>
    </row>
    <row r="67" spans="2:15">
      <c r="B67" s="9">
        <v>61400</v>
      </c>
      <c r="C67" s="10" t="s">
        <v>93</v>
      </c>
      <c r="H67" s="11" t="str">
        <f t="shared" ref="H67:H71" si="8">TRIM($B67)&amp;"-"&amp;TEXT(H$2,"00000")</f>
        <v>61400-02001</v>
      </c>
      <c r="O67" s="11" t="str">
        <f t="shared" ref="O67:O71" si="9">TRIM($B67)&amp;"-"&amp;TEXT(O$2,"00000")</f>
        <v>61400-11001</v>
      </c>
    </row>
    <row r="68" spans="2:15">
      <c r="B68" s="9">
        <v>61411</v>
      </c>
      <c r="C68" s="10" t="s">
        <v>94</v>
      </c>
      <c r="H68" s="11" t="str">
        <f t="shared" si="8"/>
        <v>61411-02001</v>
      </c>
      <c r="O68" s="11" t="str">
        <f t="shared" si="9"/>
        <v>61411-11001</v>
      </c>
    </row>
    <row r="69" spans="2:15">
      <c r="B69" s="30">
        <v>61412</v>
      </c>
      <c r="C69" s="10" t="s">
        <v>95</v>
      </c>
      <c r="H69" s="11" t="str">
        <f t="shared" si="8"/>
        <v>61412-02001</v>
      </c>
      <c r="O69" s="11" t="str">
        <f t="shared" si="9"/>
        <v>61412-11001</v>
      </c>
    </row>
    <row r="70" spans="2:15">
      <c r="B70" s="30">
        <v>61413</v>
      </c>
      <c r="C70" s="10" t="s">
        <v>96</v>
      </c>
      <c r="H70" s="11" t="str">
        <f t="shared" si="8"/>
        <v>61413-02001</v>
      </c>
      <c r="O70" s="11" t="str">
        <f t="shared" si="9"/>
        <v>61413-11001</v>
      </c>
    </row>
    <row r="71" spans="2:15">
      <c r="B71" s="9">
        <v>61420</v>
      </c>
      <c r="C71" s="10" t="s">
        <v>97</v>
      </c>
      <c r="H71" s="11" t="str">
        <f t="shared" si="8"/>
        <v>61420-02001</v>
      </c>
      <c r="O71" s="11" t="str">
        <f t="shared" si="9"/>
        <v>61420-11001</v>
      </c>
    </row>
    <row r="72" spans="2:15">
      <c r="B72" s="9">
        <v>61431</v>
      </c>
      <c r="C72" s="10" t="s">
        <v>98</v>
      </c>
      <c r="H72" s="11"/>
      <c r="O72" s="11">
        <v>61431</v>
      </c>
    </row>
    <row r="73" spans="2:15">
      <c r="B73" s="9">
        <v>61432</v>
      </c>
      <c r="C73" s="10" t="s">
        <v>99</v>
      </c>
      <c r="H73" s="11"/>
      <c r="O73" s="11">
        <v>61432</v>
      </c>
    </row>
    <row r="74" spans="2:15">
      <c r="B74" s="9">
        <v>61433</v>
      </c>
      <c r="C74" s="10" t="s">
        <v>100</v>
      </c>
      <c r="H74" s="11"/>
      <c r="O74" s="11">
        <v>61433</v>
      </c>
    </row>
    <row r="75" spans="2:15">
      <c r="B75" s="31" t="s">
        <v>101</v>
      </c>
      <c r="C75" s="10" t="s">
        <v>102</v>
      </c>
      <c r="H75" s="11"/>
      <c r="O75" s="29" t="s">
        <v>101</v>
      </c>
    </row>
    <row r="76" spans="2:15">
      <c r="B76" s="9">
        <v>61434</v>
      </c>
      <c r="C76" s="10" t="s">
        <v>103</v>
      </c>
      <c r="H76" s="11">
        <v>61434</v>
      </c>
      <c r="O76" s="11"/>
    </row>
    <row r="77" spans="2:15">
      <c r="B77" s="30">
        <v>61435</v>
      </c>
      <c r="C77" s="10" t="s">
        <v>104</v>
      </c>
      <c r="H77" s="11">
        <v>61435</v>
      </c>
      <c r="O77" s="11"/>
    </row>
    <row r="78" spans="2:15" ht="25.5">
      <c r="B78" s="9">
        <v>61436</v>
      </c>
      <c r="C78" s="10" t="s">
        <v>105</v>
      </c>
      <c r="H78" s="11"/>
      <c r="O78" s="11">
        <v>61436</v>
      </c>
    </row>
    <row r="79" spans="2:15">
      <c r="B79" s="9">
        <v>61437</v>
      </c>
      <c r="C79" s="10" t="s">
        <v>106</v>
      </c>
      <c r="H79" s="11">
        <v>61437</v>
      </c>
      <c r="O79" s="11"/>
    </row>
    <row r="80" spans="2:15">
      <c r="B80" s="9">
        <v>61438</v>
      </c>
      <c r="C80" s="10" t="s">
        <v>107</v>
      </c>
      <c r="H80" s="11">
        <v>61438</v>
      </c>
      <c r="O80" s="11"/>
    </row>
    <row r="81" spans="2:15">
      <c r="B81" s="9">
        <v>61439</v>
      </c>
      <c r="C81" s="10" t="s">
        <v>108</v>
      </c>
      <c r="H81" s="11" t="str">
        <f t="shared" ref="H81:H82" si="10">TRIM($B81)&amp;"-"&amp;TEXT(H$2,"00000")</f>
        <v>61439-02001</v>
      </c>
      <c r="O81" s="11" t="str">
        <f t="shared" ref="O81:O82" si="11">TRIM($B81)&amp;"-"&amp;TEXT(O$2,"00000")</f>
        <v>61439-11001</v>
      </c>
    </row>
    <row r="82" spans="2:15" ht="25.5">
      <c r="B82" s="9">
        <v>61450</v>
      </c>
      <c r="C82" s="10" t="s">
        <v>109</v>
      </c>
      <c r="H82" s="11" t="str">
        <f t="shared" si="10"/>
        <v>61450-02001</v>
      </c>
      <c r="O82" s="11" t="str">
        <f t="shared" si="11"/>
        <v>61450-11001</v>
      </c>
    </row>
    <row r="83" spans="2:15" ht="25.5">
      <c r="B83" s="9">
        <v>61501</v>
      </c>
      <c r="C83" s="10" t="s">
        <v>110</v>
      </c>
      <c r="G83" s="11" t="str">
        <f t="shared" ref="G83:G93" si="12">TRIM($B83)&amp;"-"&amp;TEXT(G$2,"00000")</f>
        <v>61501-07000</v>
      </c>
    </row>
    <row r="84" spans="2:15" ht="25.5">
      <c r="B84" s="9">
        <v>61502</v>
      </c>
      <c r="C84" s="10" t="s">
        <v>111</v>
      </c>
      <c r="G84" s="11" t="str">
        <f t="shared" si="12"/>
        <v>61502-07000</v>
      </c>
    </row>
    <row r="85" spans="2:15" ht="25.5">
      <c r="B85" s="9">
        <v>61503</v>
      </c>
      <c r="C85" s="10" t="s">
        <v>112</v>
      </c>
      <c r="G85" s="11" t="str">
        <f t="shared" si="12"/>
        <v>61503-07000</v>
      </c>
    </row>
    <row r="86" spans="2:15">
      <c r="B86" s="9">
        <v>61504</v>
      </c>
      <c r="C86" s="10" t="s">
        <v>113</v>
      </c>
      <c r="G86" s="11" t="str">
        <f t="shared" si="12"/>
        <v>61504-07000</v>
      </c>
    </row>
    <row r="87" spans="2:15">
      <c r="B87" s="9">
        <v>61505</v>
      </c>
      <c r="C87" s="10" t="s">
        <v>114</v>
      </c>
      <c r="G87" s="11" t="str">
        <f t="shared" si="12"/>
        <v>61505-07000</v>
      </c>
    </row>
    <row r="88" spans="2:15">
      <c r="B88" s="9">
        <v>61506</v>
      </c>
      <c r="C88" s="10" t="s">
        <v>115</v>
      </c>
      <c r="G88" s="11" t="str">
        <f t="shared" si="12"/>
        <v>61506-07000</v>
      </c>
    </row>
    <row r="89" spans="2:15" ht="25.5">
      <c r="B89" s="9">
        <v>61507</v>
      </c>
      <c r="C89" s="10" t="s">
        <v>116</v>
      </c>
      <c r="G89" s="11" t="str">
        <f t="shared" si="12"/>
        <v>61507-07000</v>
      </c>
    </row>
    <row r="90" spans="2:15" ht="25.5">
      <c r="B90" s="32">
        <v>62101</v>
      </c>
      <c r="C90" s="17" t="s">
        <v>117</v>
      </c>
      <c r="G90" s="11" t="str">
        <f t="shared" si="12"/>
        <v>62101-07000</v>
      </c>
    </row>
    <row r="91" spans="2:15">
      <c r="B91" s="32">
        <v>62102</v>
      </c>
      <c r="C91" s="17" t="s">
        <v>118</v>
      </c>
      <c r="G91" s="11" t="str">
        <f t="shared" si="12"/>
        <v>62102-07000</v>
      </c>
    </row>
    <row r="92" spans="2:15">
      <c r="B92" s="32" t="s">
        <v>119</v>
      </c>
      <c r="C92" s="10" t="s">
        <v>118</v>
      </c>
      <c r="G92" s="11" t="str">
        <f t="shared" si="12"/>
        <v>62102-07000</v>
      </c>
    </row>
    <row r="93" spans="2:15">
      <c r="B93" s="9">
        <v>62103</v>
      </c>
      <c r="C93" s="10" t="s">
        <v>120</v>
      </c>
      <c r="G93" s="11" t="str">
        <f t="shared" si="12"/>
        <v>62103-07000</v>
      </c>
    </row>
    <row r="94" spans="2:15">
      <c r="B94" s="9"/>
      <c r="C94" s="10"/>
      <c r="G94" s="18"/>
    </row>
    <row r="95" spans="2:15" ht="25.5">
      <c r="B95" s="9">
        <v>62104</v>
      </c>
      <c r="C95" s="10" t="s">
        <v>121</v>
      </c>
      <c r="G95" s="11" t="str">
        <f>TRIM($B95)&amp;"-"&amp;TEXT(G$2,"00000")</f>
        <v>62104-07000</v>
      </c>
    </row>
    <row r="96" spans="2:15">
      <c r="B96" s="9">
        <v>62106</v>
      </c>
      <c r="C96" s="10" t="s">
        <v>122</v>
      </c>
      <c r="G96" s="11" t="str">
        <f>TRIM($B96)&amp;"-"&amp;TEXT(G$2,"00000")</f>
        <v>62106-07000</v>
      </c>
    </row>
    <row r="97" spans="2:19" ht="25.5">
      <c r="B97" s="9">
        <v>62201</v>
      </c>
      <c r="C97" s="10" t="s">
        <v>123</v>
      </c>
      <c r="S97" s="11">
        <v>62201</v>
      </c>
    </row>
    <row r="98" spans="2:19" ht="25.5">
      <c r="B98" s="33" t="s">
        <v>124</v>
      </c>
      <c r="C98" s="34" t="s">
        <v>125</v>
      </c>
      <c r="J98" s="11" t="s">
        <v>124</v>
      </c>
    </row>
    <row r="99" spans="2:19">
      <c r="B99" s="9">
        <v>62740</v>
      </c>
      <c r="C99" s="10" t="s">
        <v>126</v>
      </c>
      <c r="H99" s="11" t="str">
        <f t="shared" ref="H99:H105" si="13">TRIM($B99)&amp;"-"&amp;TEXT(H$2,"00000")</f>
        <v>62740-02001</v>
      </c>
    </row>
    <row r="100" spans="2:19">
      <c r="B100" s="9">
        <v>62741</v>
      </c>
      <c r="C100" s="10" t="s">
        <v>127</v>
      </c>
      <c r="H100" s="11" t="str">
        <f t="shared" si="13"/>
        <v>62741-02001</v>
      </c>
    </row>
    <row r="101" spans="2:19">
      <c r="B101" s="9">
        <v>62751</v>
      </c>
      <c r="C101" s="10" t="s">
        <v>128</v>
      </c>
      <c r="H101" s="11" t="str">
        <f t="shared" si="13"/>
        <v>62751-02001</v>
      </c>
    </row>
    <row r="102" spans="2:19">
      <c r="B102" s="9">
        <v>62752</v>
      </c>
      <c r="C102" s="10" t="s">
        <v>129</v>
      </c>
      <c r="H102" s="11" t="str">
        <f t="shared" si="13"/>
        <v>62752-02001</v>
      </c>
    </row>
    <row r="103" spans="2:19">
      <c r="B103" s="9">
        <v>62753</v>
      </c>
      <c r="C103" s="34" t="s">
        <v>130</v>
      </c>
      <c r="H103" s="11" t="str">
        <f t="shared" si="13"/>
        <v>62753-02001</v>
      </c>
    </row>
    <row r="104" spans="2:19">
      <c r="B104" s="9">
        <v>62754</v>
      </c>
      <c r="C104" s="34" t="s">
        <v>131</v>
      </c>
      <c r="H104" s="11" t="str">
        <f t="shared" si="13"/>
        <v>62754-02001</v>
      </c>
    </row>
    <row r="105" spans="2:19">
      <c r="B105" s="9">
        <v>62760</v>
      </c>
      <c r="C105" s="10" t="s">
        <v>132</v>
      </c>
      <c r="H105" s="11" t="str">
        <f t="shared" si="13"/>
        <v>62760-02001</v>
      </c>
    </row>
    <row r="106" spans="2:19">
      <c r="B106" s="9">
        <v>62761</v>
      </c>
      <c r="C106" s="10" t="s">
        <v>133</v>
      </c>
      <c r="S106" s="11" t="str">
        <f>TRIM($B106)&amp;"-"&amp;TEXT(S$2,"00000")</f>
        <v>62761-06001</v>
      </c>
    </row>
    <row r="107" spans="2:19">
      <c r="B107" s="9">
        <v>62777</v>
      </c>
      <c r="C107" s="10" t="s">
        <v>134</v>
      </c>
      <c r="S107" s="11" t="str">
        <f>TRIM($B107)&amp;"-"&amp;TEXT(S$2,"00000")</f>
        <v>62777-06001</v>
      </c>
    </row>
    <row r="108" spans="2:19">
      <c r="B108" s="9">
        <v>61809</v>
      </c>
      <c r="C108" s="10" t="s">
        <v>135</v>
      </c>
      <c r="H108" s="11" t="str">
        <f>TRIM($B108)&amp;"-"&amp;TEXT(H$2,"00000")</f>
        <v>61809-02001</v>
      </c>
    </row>
    <row r="109" spans="2:19">
      <c r="B109" s="9">
        <v>61810</v>
      </c>
      <c r="C109" s="10" t="s">
        <v>136</v>
      </c>
      <c r="R109" s="11" t="str">
        <f>TRIM($B109)&amp;"-"&amp;TEXT(R$2,"00000")</f>
        <v>61810-04001</v>
      </c>
    </row>
    <row r="110" spans="2:19">
      <c r="B110" s="9">
        <v>61811</v>
      </c>
      <c r="C110" s="10" t="s">
        <v>137</v>
      </c>
    </row>
    <row r="111" spans="2:19">
      <c r="B111" s="9">
        <v>61812</v>
      </c>
      <c r="C111" s="10" t="s">
        <v>138</v>
      </c>
      <c r="K111" s="11" t="str">
        <f>TRIM($B111)&amp;"-"&amp;TEXT(K$2,"00000")</f>
        <v>61812-03001</v>
      </c>
      <c r="Q111" s="11" t="str">
        <f>TRIM($B111)&amp;"-"&amp;TEXT(Q$2,"00000")</f>
        <v>61812-01007</v>
      </c>
    </row>
    <row r="112" spans="2:19">
      <c r="B112" s="9">
        <v>62781</v>
      </c>
      <c r="C112" s="10" t="s">
        <v>139</v>
      </c>
      <c r="F112" s="11" t="str">
        <f>TRIM($B112)&amp;"-"&amp;TEXT(F$2,"00000")</f>
        <v>62781-05001</v>
      </c>
    </row>
    <row r="113" spans="2:22">
      <c r="B113" s="9">
        <v>62782</v>
      </c>
      <c r="C113" s="10" t="s">
        <v>140</v>
      </c>
      <c r="F113" s="11" t="str">
        <f>TRIM($B113)&amp;"-"&amp;TEXT(F$2,"00000")</f>
        <v>62782-05001</v>
      </c>
    </row>
    <row r="114" spans="2:22">
      <c r="B114" s="9" t="s">
        <v>141</v>
      </c>
      <c r="C114" s="10" t="s">
        <v>142</v>
      </c>
      <c r="F114" s="11" t="str">
        <f>TRIM($B114)&amp;"-"&amp;TEXT(F$2,"00000")</f>
        <v>62783-05001</v>
      </c>
    </row>
    <row r="115" spans="2:22">
      <c r="B115" s="9">
        <v>62784</v>
      </c>
      <c r="C115" s="10" t="s">
        <v>143</v>
      </c>
      <c r="F115" s="11" t="str">
        <f>TRIM($B115)&amp;"-"&amp;TEXT(F$2,"00000")</f>
        <v>62784-05001</v>
      </c>
      <c r="R115" s="11" t="str">
        <f>TRIM($B115)&amp;"-"&amp;TEXT(R$2,"00000")</f>
        <v>62784-04001</v>
      </c>
    </row>
    <row r="116" spans="2:22">
      <c r="B116" s="9">
        <v>62785</v>
      </c>
      <c r="C116" s="10" t="s">
        <v>144</v>
      </c>
      <c r="E116" s="11" t="str">
        <f>TRIM($B116)&amp;"-"&amp;TEXT(E$2,"00000")</f>
        <v>62785-09001</v>
      </c>
    </row>
    <row r="117" spans="2:22">
      <c r="B117" s="9">
        <v>61610</v>
      </c>
      <c r="C117" s="35" t="s">
        <v>145</v>
      </c>
      <c r="H117" s="11" t="str">
        <f>TRIM($B117)&amp;"-"&amp;TEXT(H$2,"00000")</f>
        <v>61610-02001</v>
      </c>
    </row>
    <row r="118" spans="2:22">
      <c r="B118" s="9"/>
      <c r="C118" s="35" t="s">
        <v>146</v>
      </c>
      <c r="J118" s="18"/>
    </row>
    <row r="119" spans="2:22">
      <c r="B119" s="9"/>
      <c r="C119" s="35" t="s">
        <v>147</v>
      </c>
      <c r="J119" s="18"/>
      <c r="O119" s="18"/>
      <c r="R119" s="18"/>
    </row>
    <row r="120" spans="2:22">
      <c r="B120" s="9" t="s">
        <v>148</v>
      </c>
      <c r="C120" s="35" t="s">
        <v>149</v>
      </c>
      <c r="D120" s="11" t="str">
        <f>TRIM($B120)&amp;"-"&amp;TEXT(D$2,"00000")</f>
        <v>61440-01001</v>
      </c>
      <c r="E120" s="11" t="str">
        <f t="shared" ref="E120:U120" si="14">TRIM($B120)&amp;"-"&amp;TEXT(E$2,"00000")</f>
        <v>61440-09001</v>
      </c>
      <c r="F120" s="11" t="str">
        <f t="shared" si="14"/>
        <v>61440-05001</v>
      </c>
      <c r="G120" s="11" t="str">
        <f t="shared" si="14"/>
        <v>61440-07000</v>
      </c>
      <c r="H120" s="11" t="str">
        <f t="shared" si="14"/>
        <v>61440-02001</v>
      </c>
      <c r="I120" s="11" t="str">
        <f t="shared" si="14"/>
        <v>61440-01002</v>
      </c>
      <c r="J120" s="11" t="str">
        <f t="shared" si="14"/>
        <v>61440-01003</v>
      </c>
      <c r="K120" s="11" t="str">
        <f t="shared" si="14"/>
        <v>61440-03001</v>
      </c>
      <c r="L120" s="11" t="str">
        <f t="shared" si="14"/>
        <v>61440-10001</v>
      </c>
      <c r="M120" s="11" t="str">
        <f t="shared" si="14"/>
        <v>61440-01004</v>
      </c>
      <c r="N120" s="11" t="str">
        <f t="shared" si="14"/>
        <v>61440-01005</v>
      </c>
      <c r="O120" s="11" t="str">
        <f t="shared" si="14"/>
        <v>61440-11001</v>
      </c>
      <c r="P120" s="11" t="str">
        <f t="shared" si="14"/>
        <v>61440-12001</v>
      </c>
      <c r="Q120" s="11" t="str">
        <f t="shared" si="14"/>
        <v>61440-01007</v>
      </c>
      <c r="R120" s="11" t="str">
        <f t="shared" si="14"/>
        <v>61440-04001</v>
      </c>
      <c r="S120" s="11" t="str">
        <f t="shared" si="14"/>
        <v>61440-06001</v>
      </c>
      <c r="T120" s="11" t="str">
        <f t="shared" si="14"/>
        <v>61440-01006</v>
      </c>
      <c r="U120" s="11" t="str">
        <f t="shared" si="14"/>
        <v>61440-08001</v>
      </c>
      <c r="V120" s="11" t="str">
        <f>TRIM($B120)&amp;"-"&amp;TEXT(V$2,"00000")</f>
        <v>61440-01008</v>
      </c>
    </row>
    <row r="121" spans="2:22">
      <c r="B121" s="9"/>
      <c r="C121" s="35" t="s">
        <v>47</v>
      </c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</row>
    <row r="122" spans="2:22">
      <c r="B122" s="9">
        <v>61610</v>
      </c>
      <c r="C122" s="10" t="s">
        <v>150</v>
      </c>
      <c r="L122" s="11">
        <v>61610</v>
      </c>
    </row>
    <row r="123" spans="2:22">
      <c r="B123" s="15" t="s">
        <v>48</v>
      </c>
      <c r="C123" s="16"/>
    </row>
    <row r="124" spans="2:22">
      <c r="B124" s="20"/>
      <c r="C124" s="10"/>
    </row>
    <row r="125" spans="2:22">
      <c r="B125" s="8" t="s">
        <v>151</v>
      </c>
      <c r="C125" s="10"/>
    </row>
    <row r="126" spans="2:22">
      <c r="B126" s="9">
        <v>62502</v>
      </c>
      <c r="C126" s="10" t="s">
        <v>152</v>
      </c>
      <c r="J126" s="11">
        <v>62502</v>
      </c>
    </row>
    <row r="127" spans="2:22">
      <c r="B127" s="36">
        <v>62703</v>
      </c>
      <c r="C127" s="17" t="s">
        <v>153</v>
      </c>
      <c r="G127" s="11">
        <v>62703</v>
      </c>
    </row>
    <row r="128" spans="2:22">
      <c r="B128" s="9">
        <v>62776</v>
      </c>
      <c r="C128" s="10" t="s">
        <v>154</v>
      </c>
      <c r="G128" s="11">
        <v>62776</v>
      </c>
    </row>
    <row r="129" spans="2:22">
      <c r="B129" s="15" t="s">
        <v>48</v>
      </c>
      <c r="C129" s="16"/>
    </row>
    <row r="130" spans="2:22">
      <c r="B130" s="8"/>
      <c r="C130" s="10"/>
    </row>
    <row r="131" spans="2:22">
      <c r="B131" s="8" t="s">
        <v>155</v>
      </c>
      <c r="C131" s="10"/>
    </row>
    <row r="132" spans="2:22">
      <c r="B132" s="8"/>
      <c r="C132" s="10"/>
    </row>
    <row r="133" spans="2:22">
      <c r="B133" s="8" t="s">
        <v>156</v>
      </c>
      <c r="C133" s="10"/>
    </row>
    <row r="134" spans="2:22">
      <c r="B134" s="9">
        <v>61101</v>
      </c>
      <c r="C134" s="10" t="s">
        <v>157</v>
      </c>
      <c r="H134" s="11" t="str">
        <f>TRIM($B134)&amp;"-"&amp;TEXT(H$2,"00000")</f>
        <v>61101-02001</v>
      </c>
      <c r="O134" s="11" t="s">
        <v>158</v>
      </c>
    </row>
    <row r="135" spans="2:22">
      <c r="B135" s="9">
        <v>61802</v>
      </c>
      <c r="C135" s="10" t="s">
        <v>159</v>
      </c>
      <c r="J135" s="11">
        <v>61802</v>
      </c>
    </row>
    <row r="136" spans="2:22">
      <c r="B136" s="9">
        <v>61804</v>
      </c>
      <c r="C136" s="10" t="s">
        <v>160</v>
      </c>
      <c r="L136" s="11">
        <v>61804</v>
      </c>
    </row>
    <row r="137" spans="2:22">
      <c r="B137" s="32">
        <v>62701</v>
      </c>
      <c r="C137" s="17" t="s">
        <v>161</v>
      </c>
      <c r="D137" s="11" t="str">
        <f>TRIM($B137)&amp;"-"&amp;TEXT(D$2,"00000")</f>
        <v>62701-01001</v>
      </c>
      <c r="E137" s="11" t="s">
        <v>162</v>
      </c>
      <c r="F137" s="11" t="str">
        <f>TRIM($B137)&amp;"-"&amp;TEXT(F$2,"00000")</f>
        <v>62701-05001</v>
      </c>
      <c r="U137" s="11" t="s">
        <v>162</v>
      </c>
    </row>
    <row r="138" spans="2:22">
      <c r="B138" s="9">
        <v>62702</v>
      </c>
      <c r="C138" s="10" t="s">
        <v>163</v>
      </c>
      <c r="F138" s="11">
        <v>62702</v>
      </c>
    </row>
    <row r="139" spans="2:22">
      <c r="B139" s="9">
        <v>62711</v>
      </c>
      <c r="C139" s="10" t="s">
        <v>164</v>
      </c>
      <c r="D139" s="11">
        <v>62711</v>
      </c>
    </row>
    <row r="140" spans="2:22">
      <c r="B140" s="32">
        <v>62712</v>
      </c>
      <c r="C140" s="17" t="s">
        <v>165</v>
      </c>
      <c r="D140" s="11">
        <v>62712</v>
      </c>
    </row>
    <row r="141" spans="2:22">
      <c r="B141" s="9">
        <v>62774</v>
      </c>
      <c r="C141" s="10" t="s">
        <v>166</v>
      </c>
      <c r="D141" s="11" t="str">
        <f>TRIM($B141)&amp;"-"&amp;TEXT(D$2,"00000")</f>
        <v>62774-01001</v>
      </c>
      <c r="E141" s="11" t="str">
        <f t="shared" ref="E141:V141" si="15">TRIM($B141)&amp;"-"&amp;TEXT(E$2,"00000")</f>
        <v>62774-09001</v>
      </c>
      <c r="F141" s="11" t="str">
        <f t="shared" si="15"/>
        <v>62774-05001</v>
      </c>
      <c r="G141" s="11" t="str">
        <f t="shared" si="15"/>
        <v>62774-07000</v>
      </c>
      <c r="H141" s="11" t="str">
        <f t="shared" si="15"/>
        <v>62774-02001</v>
      </c>
      <c r="I141" s="11" t="str">
        <f t="shared" si="15"/>
        <v>62774-01002</v>
      </c>
      <c r="J141" s="11" t="str">
        <f t="shared" si="15"/>
        <v>62774-01003</v>
      </c>
      <c r="K141" s="11" t="str">
        <f t="shared" si="15"/>
        <v>62774-03001</v>
      </c>
      <c r="L141" s="11" t="str">
        <f t="shared" si="15"/>
        <v>62774-10001</v>
      </c>
      <c r="M141" s="11" t="str">
        <f t="shared" si="15"/>
        <v>62774-01004</v>
      </c>
      <c r="N141" s="11" t="str">
        <f t="shared" si="15"/>
        <v>62774-01005</v>
      </c>
      <c r="O141" s="11" t="str">
        <f t="shared" si="15"/>
        <v>62774-11001</v>
      </c>
      <c r="P141" s="11" t="str">
        <f t="shared" si="15"/>
        <v>62774-12001</v>
      </c>
      <c r="Q141" s="11" t="str">
        <f t="shared" si="15"/>
        <v>62774-01007</v>
      </c>
      <c r="R141" s="11" t="str">
        <f t="shared" si="15"/>
        <v>62774-04001</v>
      </c>
      <c r="S141" s="11" t="str">
        <f t="shared" si="15"/>
        <v>62774-06001</v>
      </c>
      <c r="T141" s="11" t="str">
        <f t="shared" si="15"/>
        <v>62774-01006</v>
      </c>
      <c r="U141" s="11" t="str">
        <f t="shared" si="15"/>
        <v>62774-08001</v>
      </c>
      <c r="V141" s="11" t="str">
        <f t="shared" si="15"/>
        <v>62774-01008</v>
      </c>
    </row>
    <row r="142" spans="2:22">
      <c r="B142" s="15" t="s">
        <v>48</v>
      </c>
      <c r="C142" s="16"/>
    </row>
    <row r="143" spans="2:22">
      <c r="B143" s="20"/>
      <c r="C143" s="10"/>
    </row>
    <row r="144" spans="2:22">
      <c r="B144" s="8" t="s">
        <v>167</v>
      </c>
      <c r="C144" s="10"/>
    </row>
    <row r="145" spans="2:22" ht="25.5">
      <c r="B145" s="9">
        <v>61507</v>
      </c>
      <c r="C145" s="10" t="s">
        <v>168</v>
      </c>
      <c r="G145" s="11">
        <v>61507</v>
      </c>
    </row>
    <row r="146" spans="2:22">
      <c r="B146" s="26">
        <v>61608</v>
      </c>
      <c r="C146" s="27" t="s">
        <v>169</v>
      </c>
      <c r="L146" s="11">
        <v>61608</v>
      </c>
    </row>
    <row r="147" spans="2:22" ht="25.5">
      <c r="B147" s="9">
        <v>61609</v>
      </c>
      <c r="C147" s="10" t="s">
        <v>170</v>
      </c>
      <c r="G147" s="11">
        <v>61609</v>
      </c>
    </row>
    <row r="148" spans="2:22" ht="25.5">
      <c r="B148" s="9">
        <v>62107</v>
      </c>
      <c r="C148" s="10" t="s">
        <v>171</v>
      </c>
      <c r="G148" s="11">
        <v>62107</v>
      </c>
    </row>
    <row r="149" spans="2:22">
      <c r="B149" s="9">
        <v>62108</v>
      </c>
      <c r="C149" s="10" t="s">
        <v>172</v>
      </c>
      <c r="G149" s="11">
        <v>62108</v>
      </c>
    </row>
    <row r="150" spans="2:22">
      <c r="B150" s="9">
        <v>62771</v>
      </c>
      <c r="C150" s="10" t="s">
        <v>173</v>
      </c>
      <c r="K150" s="11" t="str">
        <f>TRIM($B150)&amp;"-"&amp;TEXT(K$2,"00000")</f>
        <v>62771-03001</v>
      </c>
      <c r="L150" s="11" t="str">
        <f>TRIM($B150)&amp;"-"&amp;TEXT(L$2,"00000")</f>
        <v>62771-10001</v>
      </c>
      <c r="R150" s="11" t="str">
        <f>TRIM($B150)&amp;"-"&amp;TEXT(R$2,"00000")</f>
        <v>62771-04001</v>
      </c>
    </row>
    <row r="151" spans="2:22">
      <c r="B151" s="9">
        <v>62775</v>
      </c>
      <c r="C151" s="10" t="s">
        <v>174</v>
      </c>
      <c r="L151" s="11">
        <v>62771</v>
      </c>
    </row>
    <row r="152" spans="2:22">
      <c r="B152" s="15" t="s">
        <v>48</v>
      </c>
      <c r="C152" s="16"/>
    </row>
    <row r="153" spans="2:22">
      <c r="B153" s="20"/>
      <c r="C153" s="10"/>
    </row>
    <row r="154" spans="2:22">
      <c r="B154" s="8" t="s">
        <v>175</v>
      </c>
      <c r="C154" s="24"/>
    </row>
    <row r="155" spans="2:22">
      <c r="B155" s="9">
        <v>61605</v>
      </c>
      <c r="C155" s="10" t="s">
        <v>176</v>
      </c>
      <c r="D155" s="11" t="str">
        <f t="shared" ref="D155:V155" si="16">TRIM($B155)&amp;"-"&amp;TEXT(D$2,"00000")</f>
        <v>61605-01001</v>
      </c>
      <c r="E155" s="11" t="str">
        <f t="shared" si="16"/>
        <v>61605-09001</v>
      </c>
      <c r="F155" s="11" t="str">
        <f t="shared" si="16"/>
        <v>61605-05001</v>
      </c>
      <c r="G155" s="11" t="str">
        <f t="shared" si="16"/>
        <v>61605-07000</v>
      </c>
      <c r="H155" s="11" t="str">
        <f t="shared" si="16"/>
        <v>61605-02001</v>
      </c>
      <c r="I155" s="11" t="str">
        <f t="shared" si="16"/>
        <v>61605-01002</v>
      </c>
      <c r="J155" s="11" t="str">
        <f t="shared" si="16"/>
        <v>61605-01003</v>
      </c>
      <c r="K155" s="11" t="str">
        <f t="shared" si="16"/>
        <v>61605-03001</v>
      </c>
      <c r="L155" s="11" t="str">
        <f t="shared" si="16"/>
        <v>61605-10001</v>
      </c>
      <c r="M155" s="11" t="str">
        <f t="shared" si="16"/>
        <v>61605-01004</v>
      </c>
      <c r="N155" s="11" t="str">
        <f t="shared" si="16"/>
        <v>61605-01005</v>
      </c>
      <c r="O155" s="11" t="str">
        <f t="shared" si="16"/>
        <v>61605-11001</v>
      </c>
      <c r="P155" s="11" t="str">
        <f t="shared" si="16"/>
        <v>61605-12001</v>
      </c>
      <c r="Q155" s="11" t="str">
        <f t="shared" si="16"/>
        <v>61605-01007</v>
      </c>
      <c r="R155" s="11" t="str">
        <f t="shared" si="16"/>
        <v>61605-04001</v>
      </c>
      <c r="S155" s="11" t="str">
        <f t="shared" si="16"/>
        <v>61605-06001</v>
      </c>
      <c r="T155" s="11" t="str">
        <f t="shared" si="16"/>
        <v>61605-01006</v>
      </c>
      <c r="U155" s="11" t="str">
        <f t="shared" si="16"/>
        <v>61605-08001</v>
      </c>
      <c r="V155" s="11" t="str">
        <f t="shared" si="16"/>
        <v>61605-01008</v>
      </c>
    </row>
    <row r="156" spans="2:22" ht="25.5">
      <c r="B156" s="9">
        <v>61606</v>
      </c>
      <c r="C156" s="10" t="s">
        <v>177</v>
      </c>
      <c r="H156" s="11" t="str">
        <f>TRIM($B156)&amp;"-"&amp;TEXT(H$2,"00000")</f>
        <v>61606-02001</v>
      </c>
      <c r="L156" s="11" t="str">
        <f>TRIM($B156)&amp;"-"&amp;TEXT(L$2,"00000")</f>
        <v>61606-10001</v>
      </c>
    </row>
    <row r="157" spans="2:22">
      <c r="B157" s="15" t="s">
        <v>48</v>
      </c>
      <c r="C157" s="16"/>
    </row>
    <row r="158" spans="2:22">
      <c r="B158" s="20"/>
      <c r="C158" s="10"/>
    </row>
    <row r="159" spans="2:22">
      <c r="B159" s="8" t="s">
        <v>178</v>
      </c>
      <c r="C159" s="10"/>
    </row>
    <row r="160" spans="2:22">
      <c r="B160" s="9">
        <v>61602</v>
      </c>
      <c r="C160" s="10" t="s">
        <v>179</v>
      </c>
      <c r="L160" s="11">
        <v>61602</v>
      </c>
    </row>
    <row r="161" spans="2:13">
      <c r="B161" s="15" t="s">
        <v>48</v>
      </c>
      <c r="C161" s="16"/>
    </row>
    <row r="162" spans="2:13">
      <c r="B162" s="20"/>
      <c r="C162" s="10"/>
    </row>
    <row r="163" spans="2:13">
      <c r="B163" s="8" t="s">
        <v>180</v>
      </c>
      <c r="C163" s="10"/>
    </row>
    <row r="164" spans="2:13">
      <c r="B164" s="37">
        <v>62407</v>
      </c>
      <c r="C164" s="10" t="s">
        <v>181</v>
      </c>
      <c r="M164" s="11">
        <v>62407</v>
      </c>
    </row>
    <row r="165" spans="2:13">
      <c r="B165" s="9">
        <v>61301</v>
      </c>
      <c r="C165" s="10" t="s">
        <v>182</v>
      </c>
      <c r="M165" s="11">
        <v>61301</v>
      </c>
    </row>
    <row r="166" spans="2:13">
      <c r="B166" s="9">
        <v>61302</v>
      </c>
      <c r="C166" s="10" t="s">
        <v>183</v>
      </c>
      <c r="M166" s="11">
        <v>61302</v>
      </c>
    </row>
    <row r="167" spans="2:13" ht="25.5">
      <c r="B167" s="38">
        <v>61303</v>
      </c>
      <c r="C167" s="39" t="s">
        <v>184</v>
      </c>
      <c r="M167" s="11">
        <v>61303</v>
      </c>
    </row>
    <row r="168" spans="2:13">
      <c r="B168" s="9">
        <v>61304</v>
      </c>
      <c r="C168" s="10" t="s">
        <v>185</v>
      </c>
      <c r="M168" s="11">
        <v>61304</v>
      </c>
    </row>
    <row r="169" spans="2:13">
      <c r="B169" s="9">
        <v>61505</v>
      </c>
      <c r="C169" s="10" t="s">
        <v>113</v>
      </c>
      <c r="M169" s="11">
        <v>61505</v>
      </c>
    </row>
    <row r="170" spans="2:13">
      <c r="B170" s="9">
        <v>62105</v>
      </c>
      <c r="C170" s="10" t="s">
        <v>186</v>
      </c>
      <c r="M170" s="11">
        <v>62105</v>
      </c>
    </row>
    <row r="171" spans="2:13">
      <c r="B171" s="9">
        <v>62401</v>
      </c>
      <c r="C171" s="10" t="s">
        <v>187</v>
      </c>
      <c r="M171" s="11">
        <v>62401</v>
      </c>
    </row>
    <row r="172" spans="2:13">
      <c r="B172" s="9">
        <v>62402</v>
      </c>
      <c r="C172" s="10" t="s">
        <v>188</v>
      </c>
      <c r="M172" s="11">
        <v>62402</v>
      </c>
    </row>
    <row r="173" spans="2:13">
      <c r="B173" s="9" t="s">
        <v>189</v>
      </c>
      <c r="C173" s="10" t="s">
        <v>190</v>
      </c>
      <c r="M173" s="29" t="s">
        <v>189</v>
      </c>
    </row>
    <row r="174" spans="2:13">
      <c r="B174" s="9">
        <v>62404</v>
      </c>
      <c r="C174" s="10" t="s">
        <v>191</v>
      </c>
      <c r="M174" s="11">
        <v>62404</v>
      </c>
    </row>
    <row r="175" spans="2:13" ht="25.5">
      <c r="B175" s="9">
        <v>62405</v>
      </c>
      <c r="C175" s="10" t="s">
        <v>192</v>
      </c>
      <c r="M175" s="11">
        <v>62405</v>
      </c>
    </row>
    <row r="176" spans="2:13">
      <c r="B176" s="9">
        <v>62406</v>
      </c>
      <c r="C176" s="10" t="s">
        <v>193</v>
      </c>
      <c r="M176" s="11">
        <v>62406</v>
      </c>
    </row>
    <row r="177" spans="2:22">
      <c r="B177" s="9">
        <v>62605</v>
      </c>
      <c r="C177" s="10" t="s">
        <v>194</v>
      </c>
      <c r="G177" s="11">
        <v>62605</v>
      </c>
    </row>
    <row r="178" spans="2:22">
      <c r="B178" s="15" t="s">
        <v>48</v>
      </c>
      <c r="C178" s="16"/>
    </row>
    <row r="179" spans="2:22">
      <c r="B179" s="20"/>
      <c r="C179" s="10"/>
    </row>
    <row r="180" spans="2:22">
      <c r="B180" s="8" t="s">
        <v>195</v>
      </c>
      <c r="C180" s="40"/>
    </row>
    <row r="181" spans="2:22">
      <c r="B181" s="9">
        <v>62203</v>
      </c>
      <c r="C181" s="10" t="s">
        <v>196</v>
      </c>
      <c r="D181" s="11" t="str">
        <f t="shared" ref="D181:S182" si="17">TRIM($B181)&amp;"-"&amp;TEXT(D$2,"00000")</f>
        <v>62203-01001</v>
      </c>
      <c r="E181" s="11" t="str">
        <f t="shared" si="17"/>
        <v>62203-09001</v>
      </c>
      <c r="F181" s="11" t="str">
        <f t="shared" si="17"/>
        <v>62203-05001</v>
      </c>
      <c r="G181" s="11" t="str">
        <f t="shared" si="17"/>
        <v>62203-07000</v>
      </c>
      <c r="H181" s="11" t="str">
        <f t="shared" si="17"/>
        <v>62203-02001</v>
      </c>
      <c r="I181" s="11" t="str">
        <f t="shared" si="17"/>
        <v>62203-01002</v>
      </c>
      <c r="J181" s="11" t="str">
        <f t="shared" si="17"/>
        <v>62203-01003</v>
      </c>
      <c r="K181" s="11" t="str">
        <f t="shared" si="17"/>
        <v>62203-03001</v>
      </c>
      <c r="L181" s="11" t="str">
        <f t="shared" si="17"/>
        <v>62203-10001</v>
      </c>
      <c r="M181" s="11" t="str">
        <f t="shared" si="17"/>
        <v>62203-01004</v>
      </c>
      <c r="N181" s="11" t="str">
        <f t="shared" si="17"/>
        <v>62203-01005</v>
      </c>
      <c r="O181" s="11" t="str">
        <f t="shared" si="17"/>
        <v>62203-11001</v>
      </c>
      <c r="P181" s="11" t="str">
        <f t="shared" si="17"/>
        <v>62203-12001</v>
      </c>
      <c r="Q181" s="11" t="str">
        <f t="shared" si="17"/>
        <v>62203-01007</v>
      </c>
      <c r="R181" s="11" t="str">
        <f t="shared" si="17"/>
        <v>62203-04001</v>
      </c>
      <c r="S181" s="11" t="str">
        <f t="shared" si="17"/>
        <v>62203-06001</v>
      </c>
      <c r="T181" s="11" t="str">
        <f t="shared" ref="T181:AH182" si="18">TRIM($B181)&amp;"-"&amp;TEXT(T$2,"00000")</f>
        <v>62203-01006</v>
      </c>
      <c r="U181" s="11" t="str">
        <f t="shared" si="18"/>
        <v>62203-08001</v>
      </c>
      <c r="V181" s="11" t="str">
        <f t="shared" si="18"/>
        <v>62203-01008</v>
      </c>
    </row>
    <row r="182" spans="2:22">
      <c r="B182" s="32">
        <v>62772</v>
      </c>
      <c r="C182" s="17" t="s">
        <v>197</v>
      </c>
      <c r="D182" s="11" t="str">
        <f t="shared" si="17"/>
        <v>62772-01001</v>
      </c>
      <c r="E182" s="11" t="str">
        <f t="shared" si="17"/>
        <v>62772-09001</v>
      </c>
      <c r="F182" s="11" t="str">
        <f t="shared" si="17"/>
        <v>62772-05001</v>
      </c>
      <c r="G182" s="11" t="str">
        <f t="shared" si="17"/>
        <v>62772-07000</v>
      </c>
      <c r="H182" s="11" t="str">
        <f t="shared" si="17"/>
        <v>62772-02001</v>
      </c>
      <c r="I182" s="11" t="str">
        <f t="shared" si="17"/>
        <v>62772-01002</v>
      </c>
      <c r="J182" s="11" t="str">
        <f t="shared" si="17"/>
        <v>62772-01003</v>
      </c>
      <c r="K182" s="11" t="str">
        <f t="shared" si="17"/>
        <v>62772-03001</v>
      </c>
      <c r="L182" s="11" t="str">
        <f t="shared" si="17"/>
        <v>62772-10001</v>
      </c>
      <c r="M182" s="11" t="str">
        <f t="shared" si="17"/>
        <v>62772-01004</v>
      </c>
      <c r="N182" s="11" t="str">
        <f t="shared" si="17"/>
        <v>62772-01005</v>
      </c>
      <c r="O182" s="11" t="str">
        <f t="shared" si="17"/>
        <v>62772-11001</v>
      </c>
      <c r="P182" s="11" t="str">
        <f t="shared" si="17"/>
        <v>62772-12001</v>
      </c>
      <c r="Q182" s="11" t="str">
        <f t="shared" si="17"/>
        <v>62772-01007</v>
      </c>
      <c r="R182" s="11" t="str">
        <f t="shared" si="17"/>
        <v>62772-04001</v>
      </c>
      <c r="S182" s="11" t="str">
        <f t="shared" si="17"/>
        <v>62772-06001</v>
      </c>
      <c r="T182" s="11" t="str">
        <f t="shared" si="18"/>
        <v>62772-01006</v>
      </c>
      <c r="U182" s="11" t="str">
        <f t="shared" si="18"/>
        <v>62772-08001</v>
      </c>
      <c r="V182" s="11" t="str">
        <f t="shared" si="18"/>
        <v>62772-01008</v>
      </c>
    </row>
    <row r="183" spans="2:22">
      <c r="B183" s="15" t="s">
        <v>48</v>
      </c>
      <c r="C183" s="16"/>
    </row>
    <row r="184" spans="2:22">
      <c r="B184" s="20"/>
      <c r="C184" s="10"/>
    </row>
    <row r="185" spans="2:22">
      <c r="B185" s="8" t="s">
        <v>198</v>
      </c>
      <c r="C185" s="41"/>
    </row>
    <row r="186" spans="2:22">
      <c r="B186" s="9">
        <v>61601</v>
      </c>
      <c r="C186" s="10" t="s">
        <v>199</v>
      </c>
      <c r="U186" s="11" t="str">
        <f>TRIM($B186)&amp;"-"&amp;TEXT(U$2,"00000")</f>
        <v>61601-08001</v>
      </c>
    </row>
    <row r="187" spans="2:22">
      <c r="B187" s="30">
        <v>61801</v>
      </c>
      <c r="C187" s="10" t="s">
        <v>200</v>
      </c>
      <c r="D187" s="11" t="str">
        <f t="shared" ref="D187:T188" si="19">TRIM($B187)&amp;"-"&amp;TEXT(D$2,"00000")</f>
        <v>61801-01001</v>
      </c>
      <c r="E187" s="11" t="str">
        <f t="shared" si="19"/>
        <v>61801-09001</v>
      </c>
      <c r="F187" s="11" t="str">
        <f t="shared" si="19"/>
        <v>61801-05001</v>
      </c>
      <c r="G187" s="11" t="str">
        <f t="shared" si="19"/>
        <v>61801-07000</v>
      </c>
      <c r="H187" s="11" t="str">
        <f t="shared" si="19"/>
        <v>61801-02001</v>
      </c>
      <c r="I187" s="11" t="str">
        <f t="shared" si="19"/>
        <v>61801-01002</v>
      </c>
      <c r="J187" s="11" t="str">
        <f t="shared" si="19"/>
        <v>61801-01003</v>
      </c>
      <c r="K187" s="11" t="str">
        <f t="shared" si="19"/>
        <v>61801-03001</v>
      </c>
      <c r="L187" s="11" t="str">
        <f t="shared" si="19"/>
        <v>61801-10001</v>
      </c>
      <c r="M187" s="11" t="str">
        <f t="shared" si="19"/>
        <v>61801-01004</v>
      </c>
      <c r="N187" s="11" t="str">
        <f t="shared" si="19"/>
        <v>61801-01005</v>
      </c>
      <c r="O187" s="11" t="str">
        <f t="shared" si="19"/>
        <v>61801-11001</v>
      </c>
      <c r="P187" s="11" t="str">
        <f t="shared" si="19"/>
        <v>61801-12001</v>
      </c>
      <c r="Q187" s="11" t="str">
        <f t="shared" si="19"/>
        <v>61801-01007</v>
      </c>
      <c r="R187" s="11" t="str">
        <f t="shared" si="19"/>
        <v>61801-04001</v>
      </c>
      <c r="S187" s="11" t="str">
        <f t="shared" si="19"/>
        <v>61801-06001</v>
      </c>
      <c r="T187" s="11" t="str">
        <f t="shared" si="19"/>
        <v>61801-01006</v>
      </c>
      <c r="U187" s="11" t="str">
        <f>TRIM($B187)&amp;"-"&amp;TEXT(U$2,"00000")</f>
        <v>61801-08001</v>
      </c>
      <c r="V187" s="11" t="str">
        <f>TRIM($B187)&amp;"-"&amp;TEXT(V$2,"00000")</f>
        <v>61801-01008</v>
      </c>
    </row>
    <row r="188" spans="2:22">
      <c r="B188" s="9">
        <v>62728</v>
      </c>
      <c r="C188" s="10" t="s">
        <v>201</v>
      </c>
      <c r="D188" s="11" t="str">
        <f t="shared" si="19"/>
        <v>62728-01001</v>
      </c>
      <c r="E188" s="11" t="str">
        <f t="shared" si="19"/>
        <v>62728-09001</v>
      </c>
      <c r="T188" s="11" t="str">
        <f>TRIM($B188)&amp;"-"&amp;TEXT(T$2,"00000")</f>
        <v>62728-01006</v>
      </c>
    </row>
    <row r="189" spans="2:22">
      <c r="B189" s="9"/>
      <c r="C189" s="10" t="s">
        <v>202</v>
      </c>
      <c r="D189" s="42"/>
      <c r="T189" s="18"/>
      <c r="U189" s="18"/>
    </row>
    <row r="190" spans="2:22">
      <c r="B190" s="9"/>
      <c r="C190" s="10" t="s">
        <v>203</v>
      </c>
      <c r="D190" s="42"/>
      <c r="T190" s="18"/>
      <c r="U190" s="18"/>
    </row>
    <row r="191" spans="2:22">
      <c r="B191" s="9"/>
      <c r="C191" s="10" t="s">
        <v>204</v>
      </c>
      <c r="D191" s="42"/>
      <c r="T191" s="18"/>
      <c r="U191" s="18"/>
    </row>
    <row r="192" spans="2:22">
      <c r="B192" s="9"/>
      <c r="C192" s="10"/>
      <c r="D192" s="42"/>
    </row>
    <row r="193" spans="2:22" ht="26.25">
      <c r="B193" s="8">
        <v>61813</v>
      </c>
      <c r="C193" s="24" t="s">
        <v>205</v>
      </c>
      <c r="D193" s="42"/>
      <c r="U193" s="11">
        <v>61813</v>
      </c>
    </row>
    <row r="194" spans="2:22">
      <c r="B194" s="43">
        <v>61814</v>
      </c>
      <c r="C194" s="44" t="s">
        <v>206</v>
      </c>
      <c r="D194" s="42"/>
      <c r="U194" s="11">
        <v>61814</v>
      </c>
    </row>
    <row r="195" spans="2:22">
      <c r="B195" s="9">
        <v>61815</v>
      </c>
      <c r="C195" s="10" t="s">
        <v>207</v>
      </c>
      <c r="D195" s="42"/>
      <c r="K195" s="11" t="str">
        <f>TRIM($B195)&amp;"-"&amp;TEXT(K$2,"00000")</f>
        <v>61815-03001</v>
      </c>
      <c r="R195" s="11" t="str">
        <f>TRIM($B195)&amp;"-"&amp;TEXT(R$2,"00000")</f>
        <v>61815-04001</v>
      </c>
    </row>
    <row r="196" spans="2:22">
      <c r="B196" s="15" t="s">
        <v>48</v>
      </c>
      <c r="C196" s="16"/>
      <c r="D196" s="42"/>
    </row>
    <row r="197" spans="2:22">
      <c r="B197" s="20"/>
      <c r="C197" s="10"/>
      <c r="D197" s="42"/>
    </row>
    <row r="198" spans="2:22">
      <c r="B198" s="8" t="s">
        <v>208</v>
      </c>
      <c r="C198" s="10"/>
      <c r="D198" s="42"/>
    </row>
    <row r="199" spans="2:22" ht="25.5">
      <c r="B199" s="9">
        <v>61803</v>
      </c>
      <c r="C199" s="10" t="s">
        <v>209</v>
      </c>
      <c r="D199" s="11" t="str">
        <f t="shared" ref="D199:V199" si="20">TRIM($B199)&amp;"-"&amp;TEXT(D$2,"00000")</f>
        <v>61803-01001</v>
      </c>
      <c r="E199" s="11" t="str">
        <f t="shared" si="20"/>
        <v>61803-09001</v>
      </c>
      <c r="F199" s="11" t="str">
        <f t="shared" si="20"/>
        <v>61803-05001</v>
      </c>
      <c r="G199" s="11" t="str">
        <f t="shared" si="20"/>
        <v>61803-07000</v>
      </c>
      <c r="H199" s="11" t="str">
        <f t="shared" si="20"/>
        <v>61803-02001</v>
      </c>
      <c r="I199" s="11" t="str">
        <f t="shared" si="20"/>
        <v>61803-01002</v>
      </c>
      <c r="J199" s="11" t="str">
        <f t="shared" si="20"/>
        <v>61803-01003</v>
      </c>
      <c r="K199" s="11" t="str">
        <f t="shared" si="20"/>
        <v>61803-03001</v>
      </c>
      <c r="L199" s="11" t="str">
        <f t="shared" si="20"/>
        <v>61803-10001</v>
      </c>
      <c r="M199" s="11" t="str">
        <f t="shared" si="20"/>
        <v>61803-01004</v>
      </c>
      <c r="N199" s="11" t="str">
        <f t="shared" si="20"/>
        <v>61803-01005</v>
      </c>
      <c r="O199" s="11" t="str">
        <f t="shared" si="20"/>
        <v>61803-11001</v>
      </c>
      <c r="P199" s="11" t="str">
        <f t="shared" si="20"/>
        <v>61803-12001</v>
      </c>
      <c r="Q199" s="11" t="str">
        <f t="shared" si="20"/>
        <v>61803-01007</v>
      </c>
      <c r="R199" s="11" t="str">
        <f t="shared" si="20"/>
        <v>61803-04001</v>
      </c>
      <c r="S199" s="11" t="str">
        <f t="shared" si="20"/>
        <v>61803-06001</v>
      </c>
      <c r="T199" s="11" t="str">
        <f t="shared" si="20"/>
        <v>61803-01006</v>
      </c>
      <c r="U199" s="11" t="str">
        <f t="shared" si="20"/>
        <v>61803-08001</v>
      </c>
      <c r="V199" s="11" t="str">
        <f t="shared" si="20"/>
        <v>61803-01008</v>
      </c>
    </row>
    <row r="200" spans="2:22">
      <c r="B200" s="9">
        <v>62704</v>
      </c>
      <c r="C200" s="10" t="s">
        <v>210</v>
      </c>
      <c r="D200" s="42"/>
      <c r="T200" s="11" t="str">
        <f>TRIM($B200)&amp;"-"&amp;TEXT(T$2,"00000")</f>
        <v>62704-01006</v>
      </c>
    </row>
    <row r="201" spans="2:22">
      <c r="B201" s="9">
        <v>62710</v>
      </c>
      <c r="C201" s="10" t="s">
        <v>211</v>
      </c>
      <c r="D201" s="11">
        <v>62710</v>
      </c>
    </row>
    <row r="202" spans="2:22">
      <c r="B202" s="9"/>
      <c r="C202" s="10" t="s">
        <v>212</v>
      </c>
      <c r="D202" s="42"/>
      <c r="T202" s="18"/>
    </row>
    <row r="203" spans="2:22">
      <c r="B203" s="9"/>
      <c r="C203" s="10" t="s">
        <v>213</v>
      </c>
      <c r="D203" s="42"/>
      <c r="J203" s="18"/>
    </row>
    <row r="204" spans="2:22">
      <c r="B204" s="9"/>
      <c r="C204" s="10" t="s">
        <v>214</v>
      </c>
      <c r="D204" s="42"/>
      <c r="T204" s="18"/>
    </row>
    <row r="205" spans="2:22">
      <c r="B205" s="9"/>
      <c r="C205" s="10" t="s">
        <v>215</v>
      </c>
      <c r="D205" s="42"/>
      <c r="T205" s="18"/>
    </row>
    <row r="206" spans="2:22">
      <c r="B206" s="9"/>
      <c r="C206" s="10" t="s">
        <v>216</v>
      </c>
      <c r="D206" s="42"/>
      <c r="T206" s="18"/>
    </row>
    <row r="207" spans="2:22">
      <c r="B207" s="9"/>
      <c r="C207" s="10" t="s">
        <v>217</v>
      </c>
      <c r="D207" s="42"/>
      <c r="T207" s="18"/>
    </row>
    <row r="208" spans="2:22">
      <c r="B208" s="9"/>
      <c r="C208" s="10" t="s">
        <v>218</v>
      </c>
      <c r="D208" s="42"/>
      <c r="T208" s="18"/>
    </row>
    <row r="209" spans="2:22">
      <c r="B209" s="9"/>
      <c r="C209" s="45" t="s">
        <v>206</v>
      </c>
      <c r="D209" s="42"/>
      <c r="T209" s="18"/>
    </row>
    <row r="210" spans="2:22">
      <c r="B210" s="15" t="s">
        <v>48</v>
      </c>
      <c r="C210" s="16"/>
      <c r="D210" s="42"/>
    </row>
    <row r="211" spans="2:22">
      <c r="B211" s="30">
        <v>62721</v>
      </c>
      <c r="C211" s="10" t="s">
        <v>219</v>
      </c>
      <c r="D211" s="42"/>
      <c r="T211" s="11" t="str">
        <f>TRIM($B211)&amp;"-"&amp;TEXT(T$2,"00000")</f>
        <v>62721-01006</v>
      </c>
    </row>
    <row r="212" spans="2:22">
      <c r="B212" s="30">
        <v>62999</v>
      </c>
      <c r="C212" s="10" t="s">
        <v>220</v>
      </c>
      <c r="D212" s="42"/>
      <c r="G212" s="11">
        <v>62999</v>
      </c>
    </row>
    <row r="213" spans="2:22">
      <c r="B213" s="9">
        <v>62727</v>
      </c>
      <c r="C213" s="10" t="s">
        <v>221</v>
      </c>
      <c r="D213" s="11" t="str">
        <f>TRIM($B213)&amp;"-"&amp;TEXT(D$2,"00000")</f>
        <v>62727-01001</v>
      </c>
      <c r="E213" s="11" t="str">
        <f>TRIM($B213)&amp;"-"&amp;TEXT(E$2,"00000")</f>
        <v>62727-09001</v>
      </c>
      <c r="F213" s="11" t="str">
        <f>TRIM($B213)&amp;"-"&amp;TEXT(F$2,"00000")</f>
        <v>62727-05001</v>
      </c>
      <c r="G213" s="11" t="str">
        <f>TRIM($B213)&amp;"-"&amp;TEXT(G$2,"00000")</f>
        <v>62727-07000</v>
      </c>
      <c r="H213" s="11" t="str">
        <f t="shared" ref="H213:V213" si="21">TRIM($B213)&amp;"-"&amp;TEXT(H$2,"00000")</f>
        <v>62727-02001</v>
      </c>
      <c r="I213" s="11" t="str">
        <f t="shared" si="21"/>
        <v>62727-01002</v>
      </c>
      <c r="J213" s="11" t="str">
        <f t="shared" si="21"/>
        <v>62727-01003</v>
      </c>
      <c r="K213" s="11" t="str">
        <f t="shared" si="21"/>
        <v>62727-03001</v>
      </c>
      <c r="L213" s="11" t="str">
        <f t="shared" si="21"/>
        <v>62727-10001</v>
      </c>
      <c r="M213" s="11" t="str">
        <f t="shared" si="21"/>
        <v>62727-01004</v>
      </c>
      <c r="N213" s="11" t="str">
        <f t="shared" si="21"/>
        <v>62727-01005</v>
      </c>
      <c r="O213" s="11" t="str">
        <f t="shared" si="21"/>
        <v>62727-11001</v>
      </c>
      <c r="P213" s="11" t="str">
        <f t="shared" si="21"/>
        <v>62727-12001</v>
      </c>
      <c r="Q213" s="11" t="str">
        <f t="shared" si="21"/>
        <v>62727-01007</v>
      </c>
      <c r="R213" s="11" t="str">
        <f t="shared" si="21"/>
        <v>62727-04001</v>
      </c>
      <c r="S213" s="11" t="str">
        <f t="shared" si="21"/>
        <v>62727-06001</v>
      </c>
      <c r="T213" s="11" t="str">
        <f t="shared" si="21"/>
        <v>62727-01006</v>
      </c>
      <c r="U213" s="11" t="str">
        <f t="shared" si="21"/>
        <v>62727-08001</v>
      </c>
      <c r="V213" s="11" t="str">
        <f t="shared" si="21"/>
        <v>62727-01008</v>
      </c>
    </row>
    <row r="214" spans="2:22">
      <c r="B214" s="15" t="s">
        <v>48</v>
      </c>
      <c r="C214" s="16"/>
    </row>
    <row r="215" spans="2:22">
      <c r="B215" s="20"/>
      <c r="C215" s="10"/>
    </row>
    <row r="216" spans="2:22">
      <c r="B216" s="46" t="s">
        <v>222</v>
      </c>
      <c r="C216" s="47" t="s">
        <v>223</v>
      </c>
    </row>
    <row r="217" spans="2:22">
      <c r="B217" s="48" t="s">
        <v>224</v>
      </c>
      <c r="C217" s="48"/>
    </row>
    <row r="218" spans="2:22">
      <c r="B218" s="49"/>
      <c r="C218" s="49" t="s">
        <v>225</v>
      </c>
      <c r="L218" s="18"/>
    </row>
    <row r="219" spans="2:22">
      <c r="B219" s="49">
        <v>61610</v>
      </c>
      <c r="C219" s="50" t="s">
        <v>226</v>
      </c>
      <c r="L219" s="11">
        <v>61610</v>
      </c>
    </row>
    <row r="220" spans="2:22">
      <c r="B220" s="49"/>
      <c r="C220" s="50"/>
    </row>
    <row r="221" spans="2:22">
      <c r="B221" s="49"/>
      <c r="C221" s="51" t="s">
        <v>227</v>
      </c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</row>
    <row r="222" spans="2:22">
      <c r="B222" s="49">
        <v>61814</v>
      </c>
      <c r="C222" s="51" t="s">
        <v>228</v>
      </c>
      <c r="D222" s="11" t="str">
        <f>TRIM($B222)&amp;"-"&amp;TEXT(D$2,"00000")</f>
        <v>61814-01001</v>
      </c>
      <c r="E222" s="11" t="str">
        <f t="shared" ref="E222:V222" si="22">TRIM($B222)&amp;"-"&amp;TEXT(E$2,"00000")</f>
        <v>61814-09001</v>
      </c>
      <c r="F222" s="11" t="str">
        <f t="shared" si="22"/>
        <v>61814-05001</v>
      </c>
      <c r="G222" s="11" t="str">
        <f t="shared" si="22"/>
        <v>61814-07000</v>
      </c>
      <c r="H222" s="11" t="str">
        <f t="shared" si="22"/>
        <v>61814-02001</v>
      </c>
      <c r="I222" s="11" t="str">
        <f t="shared" si="22"/>
        <v>61814-01002</v>
      </c>
      <c r="J222" s="11" t="str">
        <f t="shared" si="22"/>
        <v>61814-01003</v>
      </c>
      <c r="K222" s="11" t="str">
        <f t="shared" si="22"/>
        <v>61814-03001</v>
      </c>
      <c r="L222" s="11" t="str">
        <f t="shared" si="22"/>
        <v>61814-10001</v>
      </c>
      <c r="M222" s="11" t="str">
        <f t="shared" si="22"/>
        <v>61814-01004</v>
      </c>
      <c r="N222" s="11" t="str">
        <f t="shared" si="22"/>
        <v>61814-01005</v>
      </c>
      <c r="O222" s="11" t="str">
        <f t="shared" si="22"/>
        <v>61814-11001</v>
      </c>
      <c r="P222" s="11" t="str">
        <f t="shared" si="22"/>
        <v>61814-12001</v>
      </c>
      <c r="Q222" s="11" t="str">
        <f t="shared" si="22"/>
        <v>61814-01007</v>
      </c>
      <c r="R222" s="11" t="str">
        <f t="shared" si="22"/>
        <v>61814-04001</v>
      </c>
      <c r="S222" s="11" t="str">
        <f t="shared" si="22"/>
        <v>61814-06001</v>
      </c>
      <c r="T222" s="11" t="str">
        <f t="shared" si="22"/>
        <v>61814-01006</v>
      </c>
      <c r="U222" s="11" t="str">
        <f t="shared" si="22"/>
        <v>61814-08001</v>
      </c>
      <c r="V222" s="11" t="str">
        <f t="shared" si="22"/>
        <v>61814-01008</v>
      </c>
    </row>
    <row r="223" spans="2:22">
      <c r="B223" s="49"/>
      <c r="C223" s="24" t="s">
        <v>229</v>
      </c>
      <c r="D223" s="18"/>
    </row>
    <row r="224" spans="2:22" ht="26.65">
      <c r="B224" s="49"/>
      <c r="C224" s="52" t="s">
        <v>230</v>
      </c>
      <c r="O224" s="18"/>
      <c r="R224" s="18"/>
    </row>
    <row r="225" spans="2:21">
      <c r="B225" s="49"/>
      <c r="C225" s="52" t="s">
        <v>231</v>
      </c>
      <c r="O225" s="18"/>
      <c r="R225" s="18"/>
    </row>
    <row r="226" spans="2:21">
      <c r="B226" s="49"/>
      <c r="C226" s="52" t="s">
        <v>232</v>
      </c>
      <c r="O226" s="18"/>
      <c r="R226" s="18"/>
      <c r="U226" s="18"/>
    </row>
    <row r="227" spans="2:21">
      <c r="B227" s="20"/>
      <c r="C227" s="10"/>
    </row>
    <row r="228" spans="2:21">
      <c r="B228" s="20"/>
      <c r="C228" s="10"/>
    </row>
    <row r="229" spans="2:21">
      <c r="B229" s="8" t="s">
        <v>233</v>
      </c>
    </row>
    <row r="230" spans="2:21" ht="25.5">
      <c r="B230" s="9">
        <v>61201</v>
      </c>
      <c r="C230" s="10" t="s">
        <v>234</v>
      </c>
      <c r="F230" s="11">
        <v>61201</v>
      </c>
    </row>
    <row r="231" spans="2:21">
      <c r="B231" s="9">
        <v>61202</v>
      </c>
      <c r="C231" s="10" t="s">
        <v>235</v>
      </c>
      <c r="F231" s="11">
        <v>61202</v>
      </c>
    </row>
    <row r="232" spans="2:21" ht="25.5">
      <c r="B232" s="9">
        <v>61301</v>
      </c>
      <c r="C232" s="10" t="s">
        <v>236</v>
      </c>
      <c r="F232" s="11">
        <v>61301</v>
      </c>
    </row>
    <row r="233" spans="2:21">
      <c r="B233" s="9">
        <v>62301</v>
      </c>
      <c r="C233" s="10" t="s">
        <v>237</v>
      </c>
      <c r="F233" s="11">
        <v>62301</v>
      </c>
    </row>
    <row r="234" spans="2:21">
      <c r="B234" s="9">
        <v>62302</v>
      </c>
      <c r="C234" s="10" t="s">
        <v>238</v>
      </c>
      <c r="F234" s="11">
        <v>62302</v>
      </c>
    </row>
    <row r="235" spans="2:21">
      <c r="B235" s="9">
        <v>62303</v>
      </c>
      <c r="C235" s="10" t="s">
        <v>239</v>
      </c>
      <c r="F235" s="11">
        <v>62303</v>
      </c>
    </row>
    <row r="236" spans="2:21" ht="25.5">
      <c r="B236" s="9">
        <v>62304</v>
      </c>
      <c r="C236" s="10" t="s">
        <v>240</v>
      </c>
      <c r="F236" s="11">
        <v>62304</v>
      </c>
    </row>
    <row r="237" spans="2:21">
      <c r="B237" s="9">
        <v>62305</v>
      </c>
      <c r="C237" s="10" t="s">
        <v>241</v>
      </c>
      <c r="F237" s="11">
        <v>62305</v>
      </c>
    </row>
    <row r="238" spans="2:21">
      <c r="B238" s="9">
        <v>62306</v>
      </c>
      <c r="C238" s="10" t="s">
        <v>242</v>
      </c>
      <c r="F238" s="11">
        <v>62306</v>
      </c>
    </row>
    <row r="239" spans="2:21">
      <c r="B239" s="9">
        <v>62310</v>
      </c>
      <c r="C239" s="10" t="s">
        <v>243</v>
      </c>
      <c r="F239" s="11">
        <v>62310</v>
      </c>
    </row>
    <row r="240" spans="2:21">
      <c r="B240" s="9">
        <v>61201</v>
      </c>
      <c r="C240" s="10" t="s">
        <v>244</v>
      </c>
      <c r="F240" s="11">
        <v>61201</v>
      </c>
    </row>
    <row r="241" spans="2:6">
      <c r="B241" s="9">
        <v>61202</v>
      </c>
      <c r="C241" s="10" t="s">
        <v>245</v>
      </c>
      <c r="F241" s="11">
        <v>61202</v>
      </c>
    </row>
    <row r="242" spans="2:6">
      <c r="B242" s="9">
        <v>61203</v>
      </c>
      <c r="C242" s="10" t="s">
        <v>246</v>
      </c>
      <c r="F242" s="11">
        <v>61203</v>
      </c>
    </row>
    <row r="243" spans="2:6">
      <c r="B243" s="15" t="s">
        <v>48</v>
      </c>
      <c r="C243" s="16"/>
    </row>
    <row r="244" spans="2:6">
      <c r="B244" s="10"/>
      <c r="C244" s="10"/>
    </row>
    <row r="245" spans="2:6">
      <c r="B245" s="53" t="s">
        <v>247</v>
      </c>
      <c r="C245" s="54"/>
    </row>
    <row r="246" spans="2:6">
      <c r="B246" s="55">
        <v>63000</v>
      </c>
      <c r="C246" s="55" t="s">
        <v>248</v>
      </c>
      <c r="F246" s="11">
        <v>63000</v>
      </c>
    </row>
    <row r="247" spans="2:6">
      <c r="B247" s="55">
        <v>63101</v>
      </c>
      <c r="C247" s="55" t="s">
        <v>249</v>
      </c>
      <c r="F247" s="11">
        <v>63101</v>
      </c>
    </row>
    <row r="248" spans="2:6">
      <c r="B248" s="55">
        <v>63102</v>
      </c>
      <c r="C248" s="55" t="s">
        <v>250</v>
      </c>
      <c r="F248" s="11">
        <v>63102</v>
      </c>
    </row>
    <row r="249" spans="2:6">
      <c r="B249" s="55">
        <v>63103</v>
      </c>
      <c r="C249" s="55" t="s">
        <v>251</v>
      </c>
      <c r="F249" s="11">
        <v>63103</v>
      </c>
    </row>
    <row r="250" spans="2:6">
      <c r="B250" s="55">
        <v>63104</v>
      </c>
      <c r="C250" s="55" t="s">
        <v>252</v>
      </c>
      <c r="F250" s="11">
        <v>63104</v>
      </c>
    </row>
    <row r="251" spans="2:6">
      <c r="B251" s="55">
        <v>63105</v>
      </c>
      <c r="C251" s="55" t="s">
        <v>253</v>
      </c>
      <c r="F251" s="11">
        <v>63105</v>
      </c>
    </row>
    <row r="252" spans="2:6">
      <c r="B252" s="55">
        <v>63999</v>
      </c>
      <c r="C252" s="55" t="s">
        <v>254</v>
      </c>
      <c r="F252" s="11">
        <v>63999</v>
      </c>
    </row>
    <row r="253" spans="2:6">
      <c r="B253" s="15" t="s">
        <v>48</v>
      </c>
      <c r="C253" s="56"/>
    </row>
    <row r="254" spans="2:6">
      <c r="B254" s="20"/>
      <c r="C254" s="10"/>
    </row>
    <row r="255" spans="2:6">
      <c r="B255" s="8" t="s">
        <v>255</v>
      </c>
      <c r="C255" s="10"/>
    </row>
    <row r="256" spans="2:6">
      <c r="B256" s="9">
        <v>61808</v>
      </c>
      <c r="C256" s="10" t="s">
        <v>256</v>
      </c>
      <c r="F256" s="11">
        <v>61808</v>
      </c>
    </row>
    <row r="257" spans="2:18">
      <c r="B257" s="15" t="s">
        <v>48</v>
      </c>
      <c r="C257" s="16"/>
    </row>
    <row r="258" spans="2:18">
      <c r="B258" s="20"/>
      <c r="C258" s="10"/>
    </row>
    <row r="259" spans="2:18">
      <c r="B259" s="8" t="s">
        <v>257</v>
      </c>
      <c r="C259" s="10"/>
    </row>
    <row r="260" spans="2:18">
      <c r="B260" s="9">
        <v>61807</v>
      </c>
      <c r="C260" s="10" t="s">
        <v>258</v>
      </c>
      <c r="F260" s="11" t="str">
        <f>TRIM($B260)&amp;"-"&amp;TEXT(F$2,"00000")</f>
        <v>61807-05001</v>
      </c>
      <c r="O260" s="11" t="str">
        <f>TRIM($B260)&amp;"-"&amp;TEXT(O$2,"00000")</f>
        <v>61807-11001</v>
      </c>
      <c r="R260" s="11" t="str">
        <f>TRIM($B260)&amp;"-"&amp;TEXT(R$2,"00000")</f>
        <v>61807-04001</v>
      </c>
    </row>
    <row r="261" spans="2:18">
      <c r="B261" s="15" t="s">
        <v>48</v>
      </c>
      <c r="C261" s="57"/>
    </row>
    <row r="262" spans="2:18">
      <c r="B262" s="20"/>
      <c r="C262" s="10"/>
    </row>
    <row r="263" spans="2:18" ht="26.25">
      <c r="B263" s="8" t="s">
        <v>259</v>
      </c>
      <c r="C263" s="41"/>
    </row>
    <row r="264" spans="2:18">
      <c r="B264" s="9">
        <v>62726</v>
      </c>
      <c r="C264" s="10" t="s">
        <v>260</v>
      </c>
      <c r="J264" s="11">
        <v>62726</v>
      </c>
    </row>
    <row r="265" spans="2:18">
      <c r="B265" s="58" t="s">
        <v>48</v>
      </c>
      <c r="C265" s="59"/>
    </row>
    <row r="266" spans="2:18">
      <c r="B266" s="20"/>
      <c r="C266" s="10"/>
    </row>
    <row r="267" spans="2:18" ht="26.25">
      <c r="B267" s="15" t="s">
        <v>261</v>
      </c>
      <c r="C267" s="60"/>
    </row>
    <row r="268" spans="2:18">
      <c r="B268" s="8"/>
      <c r="C268" s="24"/>
    </row>
    <row r="270" spans="2:18">
      <c r="B270" s="61"/>
      <c r="C270" s="61"/>
    </row>
    <row r="271" spans="2:18">
      <c r="B271" s="62"/>
      <c r="C271" s="62"/>
    </row>
    <row r="272" spans="2:18">
      <c r="B272" s="63"/>
      <c r="C272" s="63"/>
    </row>
    <row r="273" spans="2:3">
      <c r="B273" s="63"/>
      <c r="C273" s="63"/>
    </row>
    <row r="274" spans="2:3">
      <c r="B274" s="63"/>
      <c r="C274" s="63"/>
    </row>
    <row r="275" spans="2:3">
      <c r="B275" s="63"/>
      <c r="C275" s="63"/>
    </row>
    <row r="276" spans="2:3">
      <c r="B276" s="64"/>
      <c r="C276" s="64"/>
    </row>
    <row r="278" spans="2:3">
      <c r="B278" s="65"/>
      <c r="C278" s="65"/>
    </row>
    <row r="279" spans="2:3">
      <c r="B279" s="65"/>
      <c r="C279" s="65"/>
    </row>
    <row r="280" spans="2:3">
      <c r="B280" s="65"/>
      <c r="C280" s="65"/>
    </row>
    <row r="281" spans="2:3">
      <c r="B281" s="65"/>
      <c r="C281" s="65"/>
    </row>
    <row r="282" spans="2:3">
      <c r="B282" s="65"/>
      <c r="C282" s="65"/>
    </row>
    <row r="283" spans="2:3">
      <c r="B283" s="65"/>
      <c r="C283" s="65"/>
    </row>
    <row r="284" spans="2:3">
      <c r="B284" s="66"/>
      <c r="C284" s="6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CHART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RETENTIVE</dc:creator>
  <cp:lastModifiedBy>RETENTIVE</cp:lastModifiedBy>
  <dcterms:created xsi:type="dcterms:W3CDTF">2026-09-28T22:36:29Z</dcterms:created>
  <dcterms:modified xsi:type="dcterms:W3CDTF">2026-09-28T22:36:40Z</dcterms:modified>
</cp:coreProperties>
</file>